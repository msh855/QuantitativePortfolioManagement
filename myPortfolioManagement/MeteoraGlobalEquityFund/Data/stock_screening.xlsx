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S:\Investment Solutions Group\Quant_research\Moustafa\Github\QuantitativePortfolioManagement\myPortfolioManagement\MeteoraGlobalEquityFund\Data\"/>
    </mc:Choice>
  </mc:AlternateContent>
  <xr:revisionPtr revIDLastSave="0" documentId="13_ncr:1_{0DD035F6-F465-4F28-AE48-ACFD85C5C681}" xr6:coauthVersionLast="47" xr6:coauthVersionMax="47" xr10:uidLastSave="{00000000-0000-0000-0000-000000000000}"/>
  <bookViews>
    <workbookView xWindow="30612" yWindow="-108" windowWidth="30936" windowHeight="17496" activeTab="5" xr2:uid="{00000000-000D-0000-FFFF-FFFF00000000}"/>
  </bookViews>
  <sheets>
    <sheet name="Sheet5" sheetId="1" r:id="rId1"/>
    <sheet name="Sheet1" sheetId="2" r:id="rId2"/>
    <sheet name="BBPTACShadowWks0001" sheetId="4" state="veryHidden" r:id="rId3"/>
    <sheet name="Sheet2" sheetId="3" r:id="rId4"/>
    <sheet name="Sheet4" sheetId="5" r:id="rId5"/>
    <sheet name="Sheet6" sheetId="6" r:id="rId6"/>
  </sheets>
  <definedNames>
    <definedName name="BBPTAutoColor_ShadowWksName" localSheetId="1" hidden="1">"BBPTACShadowWks0001"</definedName>
    <definedName name="BBPTAutoColor_ShadowWksName" localSheetId="3" hidden="1">"BBPTACShadowWks0001"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/>
  <c r="D2" i="4"/>
  <c r="E2" i="4"/>
  <c r="B3" i="4"/>
  <c r="C3" i="4"/>
  <c r="D3" i="4"/>
  <c r="E3" i="4"/>
  <c r="B4" i="4"/>
  <c r="C4" i="4"/>
  <c r="D4" i="4"/>
  <c r="E4" i="4"/>
  <c r="B5" i="4"/>
  <c r="C5" i="4"/>
  <c r="D5" i="4"/>
  <c r="E5" i="4"/>
  <c r="B6" i="4"/>
  <c r="C6" i="4"/>
  <c r="D6" i="4"/>
  <c r="E6" i="4"/>
  <c r="B7" i="4"/>
  <c r="C7" i="4"/>
  <c r="D7" i="4"/>
  <c r="E7" i="4"/>
  <c r="B8" i="4"/>
  <c r="C8" i="4"/>
  <c r="D8" i="4"/>
  <c r="E8" i="4"/>
  <c r="B9" i="4"/>
  <c r="C9" i="4"/>
  <c r="D9" i="4"/>
  <c r="E9" i="4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B22" i="4"/>
  <c r="C22" i="4"/>
  <c r="D22" i="4"/>
  <c r="E22" i="4"/>
  <c r="B23" i="4"/>
  <c r="C23" i="4"/>
  <c r="D23" i="4"/>
  <c r="E23" i="4"/>
  <c r="B24" i="4"/>
  <c r="C24" i="4"/>
  <c r="D24" i="4"/>
  <c r="E24" i="4"/>
  <c r="B25" i="4"/>
  <c r="C25" i="4"/>
  <c r="D25" i="4"/>
  <c r="E25" i="4"/>
  <c r="B26" i="4"/>
  <c r="C26" i="4"/>
  <c r="D26" i="4"/>
  <c r="E26" i="4"/>
  <c r="B27" i="4"/>
  <c r="C27" i="4"/>
  <c r="D27" i="4"/>
  <c r="E27" i="4"/>
  <c r="B28" i="4"/>
  <c r="C28" i="4"/>
  <c r="D28" i="4"/>
  <c r="E28" i="4"/>
  <c r="B29" i="4"/>
  <c r="C29" i="4"/>
  <c r="D29" i="4"/>
  <c r="E29" i="4"/>
  <c r="B30" i="4"/>
  <c r="C30" i="4"/>
  <c r="D30" i="4"/>
  <c r="E30" i="4"/>
  <c r="B31" i="4"/>
  <c r="C31" i="4"/>
  <c r="D31" i="4"/>
  <c r="E31" i="4"/>
  <c r="B32" i="4"/>
  <c r="C32" i="4"/>
  <c r="D32" i="4"/>
  <c r="E32" i="4"/>
  <c r="B33" i="4"/>
  <c r="C33" i="4"/>
  <c r="D33" i="4"/>
  <c r="E33" i="4"/>
  <c r="B34" i="4"/>
  <c r="C34" i="4"/>
  <c r="D34" i="4"/>
  <c r="E34" i="4"/>
  <c r="B35" i="4"/>
  <c r="C35" i="4"/>
  <c r="D35" i="4"/>
  <c r="E35" i="4"/>
  <c r="B36" i="4"/>
  <c r="C36" i="4"/>
  <c r="D36" i="4"/>
  <c r="E36" i="4"/>
  <c r="B37" i="4"/>
  <c r="C37" i="4"/>
  <c r="D37" i="4"/>
  <c r="E37" i="4"/>
  <c r="B38" i="4"/>
  <c r="C38" i="4"/>
  <c r="D38" i="4"/>
  <c r="E38" i="4"/>
  <c r="B39" i="4"/>
  <c r="C39" i="4"/>
  <c r="D39" i="4"/>
  <c r="E39" i="4"/>
  <c r="B40" i="4"/>
  <c r="C40" i="4"/>
  <c r="D40" i="4"/>
  <c r="E40" i="4"/>
  <c r="B41" i="4"/>
  <c r="C41" i="4"/>
  <c r="D41" i="4"/>
  <c r="E41" i="4"/>
  <c r="B42" i="4"/>
  <c r="C42" i="4"/>
  <c r="D42" i="4"/>
  <c r="E42" i="4"/>
  <c r="B43" i="4"/>
  <c r="C43" i="4"/>
  <c r="D43" i="4"/>
  <c r="E43" i="4"/>
  <c r="B44" i="4"/>
  <c r="C44" i="4"/>
  <c r="D44" i="4"/>
  <c r="E44" i="4"/>
  <c r="B45" i="4"/>
  <c r="C45" i="4"/>
  <c r="D45" i="4"/>
  <c r="E45" i="4"/>
  <c r="G3" i="2"/>
  <c r="G25" i="2"/>
  <c r="G4" i="2"/>
  <c r="G26" i="2"/>
  <c r="G5" i="2"/>
  <c r="G6" i="2"/>
  <c r="G7" i="2"/>
  <c r="G27" i="2"/>
  <c r="G8" i="2"/>
  <c r="G9" i="2"/>
  <c r="G10" i="2"/>
  <c r="G11" i="2"/>
  <c r="G28" i="2"/>
  <c r="G29" i="2"/>
  <c r="G12" i="2"/>
  <c r="G30" i="2"/>
  <c r="G31" i="2"/>
  <c r="G32" i="2"/>
  <c r="G33" i="2"/>
  <c r="G13" i="2"/>
  <c r="G34" i="2"/>
  <c r="G14" i="2"/>
  <c r="G35" i="2"/>
  <c r="G15" i="2"/>
  <c r="G16" i="2"/>
  <c r="G36" i="2"/>
  <c r="G17" i="2"/>
  <c r="G18" i="2"/>
  <c r="G37" i="2"/>
  <c r="G19" i="2"/>
  <c r="G20" i="2"/>
  <c r="G21" i="2"/>
  <c r="G38" i="2"/>
  <c r="G39" i="2"/>
  <c r="G40" i="2"/>
  <c r="G22" i="2"/>
  <c r="G41" i="2"/>
  <c r="G42" i="2"/>
  <c r="G43" i="2"/>
  <c r="G44" i="2"/>
  <c r="G23" i="2"/>
  <c r="G45" i="2"/>
  <c r="G24" i="2"/>
  <c r="G2" i="2"/>
  <c r="G45" i="1"/>
  <c r="G40" i="1"/>
  <c r="G39" i="1"/>
  <c r="G38" i="1"/>
  <c r="G37" i="1"/>
  <c r="G25" i="1"/>
  <c r="G24" i="1"/>
  <c r="G23" i="1"/>
  <c r="G21" i="1"/>
  <c r="G20" i="1"/>
  <c r="G19" i="1"/>
  <c r="G18" i="1"/>
  <c r="G17" i="1"/>
  <c r="G16" i="1"/>
  <c r="G15" i="1"/>
  <c r="G9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<sst xmlns="http://schemas.openxmlformats.org/spreadsheetml/2006/main" count="520" uniqueCount="150">
  <si>
    <t>YahooTicker</t>
  </si>
  <si>
    <t>Company</t>
  </si>
  <si>
    <t>port_inverse_vol</t>
  </si>
  <si>
    <t>port_naive</t>
  </si>
  <si>
    <t>port_min_vol</t>
  </si>
  <si>
    <t>weight</t>
  </si>
  <si>
    <t>adjusted_weights</t>
  </si>
  <si>
    <t>NESN.SW</t>
  </si>
  <si>
    <t>Nestle</t>
  </si>
  <si>
    <t>MRNA</t>
  </si>
  <si>
    <t>Moderna</t>
  </si>
  <si>
    <t>JNJ</t>
  </si>
  <si>
    <t>Johnson</t>
  </si>
  <si>
    <t>CTVA</t>
  </si>
  <si>
    <t>Corteva</t>
  </si>
  <si>
    <t>ODFL</t>
  </si>
  <si>
    <t>Old Dominion Freight Line, Inc.</t>
  </si>
  <si>
    <t>PANW</t>
  </si>
  <si>
    <t>Palo Alto</t>
  </si>
  <si>
    <t>SHW</t>
  </si>
  <si>
    <t>The Sherwin-Williams Company</t>
  </si>
  <si>
    <t>V</t>
  </si>
  <si>
    <t>Visa</t>
  </si>
  <si>
    <t>AAPL</t>
  </si>
  <si>
    <t>Apple</t>
  </si>
  <si>
    <t>HUBS</t>
  </si>
  <si>
    <t>HubSpot</t>
  </si>
  <si>
    <t>ABBV</t>
  </si>
  <si>
    <t>Abbvie</t>
  </si>
  <si>
    <t>ECL</t>
  </si>
  <si>
    <t>Ecolab Inc.</t>
  </si>
  <si>
    <t>SMT.L</t>
  </si>
  <si>
    <t>SMT</t>
  </si>
  <si>
    <t>COST</t>
  </si>
  <si>
    <t>Costco</t>
  </si>
  <si>
    <t>NVO</t>
  </si>
  <si>
    <t>Novo Nordisk</t>
  </si>
  <si>
    <t>TMO</t>
  </si>
  <si>
    <t>Thermo Fisher</t>
  </si>
  <si>
    <t>CRM</t>
  </si>
  <si>
    <t>Salesforce</t>
  </si>
  <si>
    <t>LIN</t>
  </si>
  <si>
    <t>Linde</t>
  </si>
  <si>
    <t>MSFT</t>
  </si>
  <si>
    <t>Microsoft Corp</t>
  </si>
  <si>
    <t>GOOGL</t>
  </si>
  <si>
    <t>Alphabet Inc.</t>
  </si>
  <si>
    <t>TSLA</t>
  </si>
  <si>
    <t>Tesla</t>
  </si>
  <si>
    <t>ASML</t>
  </si>
  <si>
    <t>NVDA</t>
  </si>
  <si>
    <t>NVIDIA</t>
  </si>
  <si>
    <t>AMZN</t>
  </si>
  <si>
    <t>Amazon</t>
  </si>
  <si>
    <t>MC.PA</t>
  </si>
  <si>
    <t>LVMH</t>
  </si>
  <si>
    <t>FAS.L</t>
  </si>
  <si>
    <t>Fidelity Asian</t>
  </si>
  <si>
    <t>EL</t>
  </si>
  <si>
    <t>Estee Lauder</t>
  </si>
  <si>
    <t>ALB</t>
  </si>
  <si>
    <t>Albemarle</t>
  </si>
  <si>
    <t>DE</t>
  </si>
  <si>
    <t>Deere</t>
  </si>
  <si>
    <t>DG.PA</t>
  </si>
  <si>
    <t>VINCI</t>
  </si>
  <si>
    <t>SMSN.IL</t>
  </si>
  <si>
    <t>Samsung Electronics</t>
  </si>
  <si>
    <t>HVPE.L</t>
  </si>
  <si>
    <t>HarbourVest</t>
  </si>
  <si>
    <t>JPM</t>
  </si>
  <si>
    <t>JPMorgan</t>
  </si>
  <si>
    <t>BHP</t>
  </si>
  <si>
    <t>RIO</t>
  </si>
  <si>
    <t>Rio Tinto</t>
  </si>
  <si>
    <t>MELI</t>
  </si>
  <si>
    <t>MercadoLibre</t>
  </si>
  <si>
    <t>NOW</t>
  </si>
  <si>
    <t>ServiceNow</t>
  </si>
  <si>
    <t>LRCX</t>
  </si>
  <si>
    <t>Lam Research Corporation</t>
  </si>
  <si>
    <t>CRWD</t>
  </si>
  <si>
    <t>CrowdStrike</t>
  </si>
  <si>
    <t>AMAT</t>
  </si>
  <si>
    <t>Applied Materials, Inc.</t>
  </si>
  <si>
    <t>III.L</t>
  </si>
  <si>
    <t>3i Group</t>
  </si>
  <si>
    <t>9984.T</t>
  </si>
  <si>
    <t>SoftBank</t>
  </si>
  <si>
    <t>TM</t>
  </si>
  <si>
    <t>Toyota Motor</t>
  </si>
  <si>
    <t>ENPH</t>
  </si>
  <si>
    <t>Enphase Energy</t>
  </si>
  <si>
    <t>Average_Growth_Fair_Price</t>
  </si>
  <si>
    <t>average_growth</t>
  </si>
  <si>
    <t>cagr</t>
  </si>
  <si>
    <t>Overvalued</t>
  </si>
  <si>
    <t>Undervalued</t>
  </si>
  <si>
    <t>Valuation_based_on_Fair_Price</t>
  </si>
  <si>
    <t>Valuation_based_on_Longet_Expected_Growth</t>
  </si>
  <si>
    <t>Total_Signal</t>
  </si>
  <si>
    <t>start</t>
  </si>
  <si>
    <t>end</t>
  </si>
  <si>
    <t>rf</t>
  </si>
  <si>
    <t>total_return</t>
  </si>
  <si>
    <t>max_drawdown</t>
  </si>
  <si>
    <t>calmar</t>
  </si>
  <si>
    <t>mtd</t>
  </si>
  <si>
    <t>three_month</t>
  </si>
  <si>
    <t>six_month</t>
  </si>
  <si>
    <t>ytd</t>
  </si>
  <si>
    <t>one_year</t>
  </si>
  <si>
    <t>three_year</t>
  </si>
  <si>
    <t>five_year</t>
  </si>
  <si>
    <t>ten_year</t>
  </si>
  <si>
    <t>incep</t>
  </si>
  <si>
    <t>daily_sharpe</t>
  </si>
  <si>
    <t>daily_sortino</t>
  </si>
  <si>
    <t>daily_mean</t>
  </si>
  <si>
    <t>daily_vol</t>
  </si>
  <si>
    <t>daily_skew</t>
  </si>
  <si>
    <t>daily_kurt</t>
  </si>
  <si>
    <t>best_day</t>
  </si>
  <si>
    <t>worst_day</t>
  </si>
  <si>
    <t>monthly_sharpe</t>
  </si>
  <si>
    <t>monthly_sortino</t>
  </si>
  <si>
    <t>monthly_mean</t>
  </si>
  <si>
    <t>monthly_vol</t>
  </si>
  <si>
    <t>monthly_skew</t>
  </si>
  <si>
    <t>monthly_kurt</t>
  </si>
  <si>
    <t>best_month</t>
  </si>
  <si>
    <t>worst_month</t>
  </si>
  <si>
    <t>yearly_sharpe</t>
  </si>
  <si>
    <t>yearly_sortino</t>
  </si>
  <si>
    <t>yearly_mean</t>
  </si>
  <si>
    <t>yearly_vol</t>
  </si>
  <si>
    <t>yearly_skew</t>
  </si>
  <si>
    <t>yearly_kurt</t>
  </si>
  <si>
    <t>best_year</t>
  </si>
  <si>
    <t>worst_year</t>
  </si>
  <si>
    <t>avg_drawdown</t>
  </si>
  <si>
    <t>avg_drawdown_days</t>
  </si>
  <si>
    <t>avg_up_month</t>
  </si>
  <si>
    <t>avg_down_month</t>
  </si>
  <si>
    <t>win_year_perc</t>
  </si>
  <si>
    <t>twelve_month_win_perc</t>
  </si>
  <si>
    <t>Age</t>
  </si>
  <si>
    <t>Upside_norm</t>
  </si>
  <si>
    <t>ranking</t>
  </si>
  <si>
    <t>ranking_norm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</si>
</sst>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FF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1" applyFont="1" applyFill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9" fontId="2" fillId="0" borderId="0" xfId="1" applyFont="1" applyFill="1" applyAlignment="1">
      <alignment horizontal="center"/>
    </xf>
    <xf numFmtId="0" fontId="2" fillId="0" borderId="0" xfId="0" applyFont="1"/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workbookViewId="0">
      <selection activeCell="B26" sqref="B26"/>
    </sheetView>
  </sheetViews>
  <sheetFormatPr defaultColWidth="9.109375" defaultRowHeight="14.4" x14ac:dyDescent="0.3"/>
  <cols>
    <col min="1" max="1" width="11" style="1" bestFit="1"/>
    <col min="2" max="2" width="38.109375" style="1" bestFit="1"/>
    <col min="3" max="5" width="0" style="1" hidden="1" customWidth="1"/>
    <col min="6" max="6" width="9.109375" style="1" customWidth="1"/>
    <col min="7" max="7" width="16.21875" style="1" bestFit="1"/>
    <col min="8" max="16384" width="9.10937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1" t="s">
        <v>8</v>
      </c>
      <c r="C2" s="2">
        <v>4.2428896893803671E-2</v>
      </c>
      <c r="D2" s="2">
        <v>2.0833333333333332E-2</v>
      </c>
      <c r="E2" s="2">
        <v>0.06</v>
      </c>
      <c r="F2" s="2">
        <v>2.5302492307641311E-2</v>
      </c>
      <c r="G2" s="3">
        <v>0.05</v>
      </c>
    </row>
    <row r="3" spans="1:7" x14ac:dyDescent="0.3">
      <c r="A3" s="1" t="s">
        <v>9</v>
      </c>
      <c r="B3" s="1" t="s">
        <v>10</v>
      </c>
      <c r="C3" s="2">
        <v>9.2713416435435732E-3</v>
      </c>
      <c r="D3" s="2">
        <v>2.0833333333333332E-2</v>
      </c>
      <c r="E3" s="2">
        <v>0.02</v>
      </c>
      <c r="F3" s="2">
        <v>4.8928419145517842E-2</v>
      </c>
      <c r="G3" s="3">
        <f>F3</f>
        <v>4.8928419145517842E-2</v>
      </c>
    </row>
    <row r="4" spans="1:7" x14ac:dyDescent="0.3">
      <c r="A4" s="1" t="s">
        <v>11</v>
      </c>
      <c r="B4" s="1" t="s">
        <v>12</v>
      </c>
      <c r="C4" s="2">
        <v>3.4890758733423823E-2</v>
      </c>
      <c r="D4" s="2">
        <v>2.0833333333333332E-2</v>
      </c>
      <c r="E4" s="2">
        <v>0.02</v>
      </c>
      <c r="F4" s="2">
        <v>2.0157569312047121E-2</v>
      </c>
      <c r="G4" s="3">
        <f>C4</f>
        <v>3.4890758733423823E-2</v>
      </c>
    </row>
    <row r="5" spans="1:7" x14ac:dyDescent="0.3">
      <c r="A5" s="1" t="s">
        <v>13</v>
      </c>
      <c r="B5" s="1" t="s">
        <v>14</v>
      </c>
      <c r="C5" s="2">
        <v>2.03755884043107E-2</v>
      </c>
      <c r="D5" s="2">
        <v>2.0833333333333332E-2</v>
      </c>
      <c r="E5" s="2">
        <v>0.02</v>
      </c>
      <c r="F5" s="2">
        <v>3.4518221413069941E-2</v>
      </c>
      <c r="G5" s="3">
        <f>F5</f>
        <v>3.4518221413069941E-2</v>
      </c>
    </row>
    <row r="6" spans="1:7" x14ac:dyDescent="0.3">
      <c r="A6" s="1" t="s">
        <v>15</v>
      </c>
      <c r="B6" s="1" t="s">
        <v>16</v>
      </c>
      <c r="C6" s="2">
        <v>2.0539848084286841E-2</v>
      </c>
      <c r="D6" s="2">
        <v>2.0833333333333332E-2</v>
      </c>
      <c r="E6" s="2">
        <v>0.02</v>
      </c>
      <c r="F6" s="2">
        <v>3.3776344501499078E-2</v>
      </c>
      <c r="G6" s="3">
        <f>F6</f>
        <v>3.3776344501499078E-2</v>
      </c>
    </row>
    <row r="7" spans="1:7" x14ac:dyDescent="0.3">
      <c r="A7" s="1" t="s">
        <v>17</v>
      </c>
      <c r="B7" s="1" t="s">
        <v>18</v>
      </c>
      <c r="C7" s="2">
        <v>1.8012707750456939E-2</v>
      </c>
      <c r="D7" s="2">
        <v>2.0833333333333332E-2</v>
      </c>
      <c r="E7" s="2">
        <v>0.02</v>
      </c>
      <c r="F7" s="2">
        <v>3.2835946059265889E-2</v>
      </c>
      <c r="G7" s="3">
        <f>F7</f>
        <v>3.2835946059265889E-2</v>
      </c>
    </row>
    <row r="8" spans="1:7" x14ac:dyDescent="0.3">
      <c r="A8" s="1" t="s">
        <v>19</v>
      </c>
      <c r="B8" s="1" t="s">
        <v>20</v>
      </c>
      <c r="C8" s="2">
        <v>2.2686030700726965E-2</v>
      </c>
      <c r="D8" s="2">
        <v>2.0833333333333332E-2</v>
      </c>
      <c r="E8" s="2">
        <v>0.02</v>
      </c>
      <c r="F8" s="2">
        <v>3.1265559319801052E-2</v>
      </c>
      <c r="G8" s="3">
        <v>1.95E-2</v>
      </c>
    </row>
    <row r="9" spans="1:7" x14ac:dyDescent="0.3">
      <c r="A9" s="1" t="s">
        <v>21</v>
      </c>
      <c r="B9" s="1" t="s">
        <v>22</v>
      </c>
      <c r="C9" s="2">
        <v>2.3867883602741967E-2</v>
      </c>
      <c r="D9" s="2">
        <v>2.0833333333333332E-2</v>
      </c>
      <c r="E9" s="2">
        <v>0.02</v>
      </c>
      <c r="F9" s="2">
        <v>3.0063657758193672E-2</v>
      </c>
      <c r="G9" s="3">
        <f>F9</f>
        <v>3.0063657758193672E-2</v>
      </c>
    </row>
    <row r="10" spans="1:7" x14ac:dyDescent="0.3">
      <c r="A10" s="1" t="s">
        <v>23</v>
      </c>
      <c r="B10" s="1" t="s">
        <v>24</v>
      </c>
      <c r="C10" s="2">
        <v>2.1351113489313362E-2</v>
      </c>
      <c r="D10" s="2">
        <v>2.0833333333333332E-2</v>
      </c>
      <c r="E10" s="2">
        <v>0.02</v>
      </c>
      <c r="F10" s="2">
        <v>3.9811439155027065E-2</v>
      </c>
      <c r="G10" s="3">
        <v>0.03</v>
      </c>
    </row>
    <row r="11" spans="1:7" x14ac:dyDescent="0.3">
      <c r="A11" s="1" t="s">
        <v>25</v>
      </c>
      <c r="B11" s="1" t="s">
        <v>26</v>
      </c>
      <c r="C11" s="2">
        <v>1.2329257097950847E-2</v>
      </c>
      <c r="D11" s="2">
        <v>2.0833333333333332E-2</v>
      </c>
      <c r="E11" s="2">
        <v>0.02</v>
      </c>
      <c r="F11" s="2">
        <v>3.6090532033435922E-2</v>
      </c>
      <c r="G11" s="3">
        <v>0.03</v>
      </c>
    </row>
    <row r="12" spans="1:7" x14ac:dyDescent="0.3">
      <c r="A12" s="1" t="s">
        <v>27</v>
      </c>
      <c r="B12" s="1" t="s">
        <v>28</v>
      </c>
      <c r="C12" s="2">
        <v>2.7228132466618191E-2</v>
      </c>
      <c r="D12" s="2">
        <v>2.0833333333333332E-2</v>
      </c>
      <c r="E12" s="2">
        <v>0.02</v>
      </c>
      <c r="F12" s="2">
        <v>2.7978252255846565E-2</v>
      </c>
      <c r="G12" s="3">
        <v>0.03</v>
      </c>
    </row>
    <row r="13" spans="1:7" x14ac:dyDescent="0.3">
      <c r="A13" s="1" t="s">
        <v>29</v>
      </c>
      <c r="B13" s="1" t="s">
        <v>30</v>
      </c>
      <c r="C13" s="2">
        <v>2.1733961556537715E-2</v>
      </c>
      <c r="D13" s="2">
        <v>2.0833333333333332E-2</v>
      </c>
      <c r="E13" s="2">
        <v>0.02</v>
      </c>
      <c r="F13" s="2">
        <v>1.8299199428233333E-2</v>
      </c>
      <c r="G13" s="3">
        <v>0.03</v>
      </c>
    </row>
    <row r="14" spans="1:7" x14ac:dyDescent="0.3">
      <c r="A14" s="1" t="s">
        <v>31</v>
      </c>
      <c r="B14" s="1" t="s">
        <v>32</v>
      </c>
      <c r="C14" s="2">
        <v>1.9784797312714018E-2</v>
      </c>
      <c r="D14" s="2">
        <v>2.0833333333333332E-2</v>
      </c>
      <c r="E14" s="2">
        <v>0.02</v>
      </c>
      <c r="F14" s="2">
        <v>1.6493974081134153E-2</v>
      </c>
      <c r="G14" s="3">
        <v>0.03</v>
      </c>
    </row>
    <row r="15" spans="1:7" x14ac:dyDescent="0.3">
      <c r="A15" s="1" t="s">
        <v>33</v>
      </c>
      <c r="B15" s="1" t="s">
        <v>34</v>
      </c>
      <c r="C15" s="2">
        <v>2.8742296970054444E-2</v>
      </c>
      <c r="D15" s="2">
        <v>2.0833333333333332E-2</v>
      </c>
      <c r="E15" s="2">
        <v>0.02</v>
      </c>
      <c r="F15" s="2">
        <v>2.7384142703506212E-2</v>
      </c>
      <c r="G15" s="3">
        <f>F15</f>
        <v>2.7384142703506212E-2</v>
      </c>
    </row>
    <row r="16" spans="1:7" x14ac:dyDescent="0.3">
      <c r="A16" s="1" t="s">
        <v>35</v>
      </c>
      <c r="B16" s="1" t="s">
        <v>36</v>
      </c>
      <c r="C16" s="2">
        <v>2.5796074786475501E-2</v>
      </c>
      <c r="D16" s="2">
        <v>2.0833333333333332E-2</v>
      </c>
      <c r="E16" s="2">
        <v>0.02</v>
      </c>
      <c r="F16" s="2">
        <v>3.7395037561493635E-2</v>
      </c>
      <c r="G16" s="3">
        <f>C16</f>
        <v>2.5796074786475501E-2</v>
      </c>
    </row>
    <row r="17" spans="1:7" x14ac:dyDescent="0.3">
      <c r="A17" s="1" t="s">
        <v>37</v>
      </c>
      <c r="B17" s="1" t="s">
        <v>38</v>
      </c>
      <c r="C17" s="2">
        <v>2.4441347496073344E-2</v>
      </c>
      <c r="D17" s="2">
        <v>2.0833333333333332E-2</v>
      </c>
      <c r="E17" s="2">
        <v>0.02</v>
      </c>
      <c r="F17" s="2">
        <v>2.496000394731715E-2</v>
      </c>
      <c r="G17" s="3">
        <f>F17</f>
        <v>2.496000394731715E-2</v>
      </c>
    </row>
    <row r="18" spans="1:7" x14ac:dyDescent="0.3">
      <c r="A18" s="1" t="s">
        <v>39</v>
      </c>
      <c r="B18" s="1" t="s">
        <v>40</v>
      </c>
      <c r="C18" s="2">
        <v>1.7863195457190846E-2</v>
      </c>
      <c r="D18" s="2">
        <v>2.0833333333333332E-2</v>
      </c>
      <c r="E18" s="2">
        <v>0.02</v>
      </c>
      <c r="F18" s="2">
        <v>2.4651545033075494E-2</v>
      </c>
      <c r="G18" s="3">
        <f>F18</f>
        <v>2.4651545033075494E-2</v>
      </c>
    </row>
    <row r="19" spans="1:7" x14ac:dyDescent="0.3">
      <c r="A19" s="1" t="s">
        <v>41</v>
      </c>
      <c r="B19" s="1" t="s">
        <v>42</v>
      </c>
      <c r="C19" s="2">
        <v>2.5852862096841372E-2</v>
      </c>
      <c r="D19" s="2">
        <v>2.0833333333333332E-2</v>
      </c>
      <c r="E19" s="2">
        <v>0.02</v>
      </c>
      <c r="F19" s="2">
        <v>2.1890762184110152E-2</v>
      </c>
      <c r="G19" s="3">
        <f>F19</f>
        <v>2.1890762184110152E-2</v>
      </c>
    </row>
    <row r="20" spans="1:7" x14ac:dyDescent="0.3">
      <c r="A20" s="1" t="s">
        <v>43</v>
      </c>
      <c r="B20" s="1" t="s">
        <v>44</v>
      </c>
      <c r="C20" s="2">
        <v>2.2435365353819892E-2</v>
      </c>
      <c r="D20" s="2">
        <v>2.0833333333333332E-2</v>
      </c>
      <c r="E20" s="2">
        <v>0.02</v>
      </c>
      <c r="F20" s="2">
        <v>2.169219804095994E-2</v>
      </c>
      <c r="G20" s="3">
        <f>F20</f>
        <v>2.169219804095994E-2</v>
      </c>
    </row>
    <row r="21" spans="1:7" x14ac:dyDescent="0.3">
      <c r="A21" s="1" t="s">
        <v>45</v>
      </c>
      <c r="B21" s="1" t="s">
        <v>46</v>
      </c>
      <c r="C21" s="2">
        <v>2.1956766716564872E-2</v>
      </c>
      <c r="D21" s="2">
        <v>2.0833333333333332E-2</v>
      </c>
      <c r="E21" s="2">
        <v>0.02</v>
      </c>
      <c r="F21" s="2">
        <v>2.1189945364298565E-2</v>
      </c>
      <c r="G21" s="3">
        <f>F21</f>
        <v>2.1189945364298565E-2</v>
      </c>
    </row>
    <row r="22" spans="1:7" x14ac:dyDescent="0.3">
      <c r="A22" s="1" t="s">
        <v>47</v>
      </c>
      <c r="B22" s="1" t="s">
        <v>48</v>
      </c>
      <c r="C22" s="2">
        <v>1.0647967061666187E-2</v>
      </c>
      <c r="D22" s="2">
        <v>2.0833333333333332E-2</v>
      </c>
      <c r="E22" s="2">
        <v>0.02</v>
      </c>
      <c r="F22" s="2">
        <v>4.4286848481480894E-2</v>
      </c>
      <c r="G22" s="3">
        <v>0.02</v>
      </c>
    </row>
    <row r="23" spans="1:7" x14ac:dyDescent="0.3">
      <c r="A23" s="1" t="s">
        <v>49</v>
      </c>
      <c r="B23" s="1" t="s">
        <v>49</v>
      </c>
      <c r="C23" s="2">
        <v>1.689785141061274E-2</v>
      </c>
      <c r="D23" s="2">
        <v>2.0833333333333332E-2</v>
      </c>
      <c r="E23" s="2">
        <v>0.02</v>
      </c>
      <c r="F23" s="2">
        <v>3.0029653994266037E-2</v>
      </c>
      <c r="G23" s="3">
        <f>E23</f>
        <v>0.02</v>
      </c>
    </row>
    <row r="24" spans="1:7" x14ac:dyDescent="0.3">
      <c r="A24" s="1" t="s">
        <v>50</v>
      </c>
      <c r="B24" s="1" t="s">
        <v>51</v>
      </c>
      <c r="C24" s="2">
        <v>1.3403843718414746E-2</v>
      </c>
      <c r="D24" s="2">
        <v>2.0833333333333332E-2</v>
      </c>
      <c r="E24" s="2">
        <v>0.02</v>
      </c>
      <c r="F24" s="2">
        <v>2.8406018086975009E-2</v>
      </c>
      <c r="G24" s="3">
        <f>E24</f>
        <v>0.02</v>
      </c>
    </row>
    <row r="25" spans="1:7" x14ac:dyDescent="0.3">
      <c r="A25" s="1" t="s">
        <v>52</v>
      </c>
      <c r="B25" s="1" t="s">
        <v>53</v>
      </c>
      <c r="C25" s="2">
        <v>1.9804448441433569E-2</v>
      </c>
      <c r="D25" s="2">
        <v>2.0833333333333332E-2</v>
      </c>
      <c r="E25" s="2">
        <v>0.02</v>
      </c>
      <c r="F25" s="2">
        <v>2.7621891460379928E-2</v>
      </c>
      <c r="G25" s="3">
        <f>E25</f>
        <v>0.02</v>
      </c>
    </row>
    <row r="26" spans="1:7" x14ac:dyDescent="0.3">
      <c r="A26" s="1" t="s">
        <v>54</v>
      </c>
      <c r="B26" s="1" t="s">
        <v>55</v>
      </c>
      <c r="C26" s="2">
        <v>2.3998878123522194E-2</v>
      </c>
      <c r="D26" s="2">
        <v>2.0833333333333332E-2</v>
      </c>
      <c r="E26" s="2">
        <v>0.02</v>
      </c>
      <c r="F26" s="2">
        <v>2.5414819766212279E-2</v>
      </c>
      <c r="G26" s="3">
        <v>0.02</v>
      </c>
    </row>
    <row r="27" spans="1:7" x14ac:dyDescent="0.3">
      <c r="A27" s="1" t="s">
        <v>56</v>
      </c>
      <c r="B27" s="1" t="s">
        <v>57</v>
      </c>
      <c r="C27" s="2">
        <v>3.1513879611344525E-2</v>
      </c>
      <c r="D27" s="2">
        <v>2.0833333333333332E-2</v>
      </c>
      <c r="E27" s="2">
        <v>0.02</v>
      </c>
      <c r="F27" s="2">
        <v>1.5711023672308057E-2</v>
      </c>
      <c r="G27" s="3">
        <v>0.02</v>
      </c>
    </row>
    <row r="28" spans="1:7" x14ac:dyDescent="0.3">
      <c r="A28" s="1" t="s">
        <v>58</v>
      </c>
      <c r="B28" s="1" t="s">
        <v>59</v>
      </c>
      <c r="C28" s="2">
        <v>2.0276276670988493E-2</v>
      </c>
      <c r="D28" s="2">
        <v>2.0833333333333332E-2</v>
      </c>
      <c r="E28" s="2">
        <v>0.02</v>
      </c>
      <c r="F28" s="2">
        <v>1.5197707493997629E-2</v>
      </c>
      <c r="G28" s="3">
        <v>0.02</v>
      </c>
    </row>
    <row r="29" spans="1:7" x14ac:dyDescent="0.3">
      <c r="A29" s="1" t="s">
        <v>60</v>
      </c>
      <c r="B29" s="1" t="s">
        <v>61</v>
      </c>
      <c r="C29" s="2">
        <v>1.4096116526678273E-2</v>
      </c>
      <c r="D29" s="2">
        <v>2.0833333333333332E-2</v>
      </c>
      <c r="E29" s="2">
        <v>0.02</v>
      </c>
      <c r="F29" s="2">
        <v>1.3808940402987918E-2</v>
      </c>
      <c r="G29" s="3">
        <v>0.02</v>
      </c>
    </row>
    <row r="30" spans="1:7" x14ac:dyDescent="0.3">
      <c r="A30" s="1" t="s">
        <v>62</v>
      </c>
      <c r="B30" s="1" t="s">
        <v>63</v>
      </c>
      <c r="C30" s="2">
        <v>2.0692687094918349E-2</v>
      </c>
      <c r="D30" s="2">
        <v>2.0833333333333332E-2</v>
      </c>
      <c r="E30" s="2">
        <v>0.02</v>
      </c>
      <c r="F30" s="2">
        <v>1.3159698118948121E-2</v>
      </c>
      <c r="G30" s="3">
        <v>0.02</v>
      </c>
    </row>
    <row r="31" spans="1:7" x14ac:dyDescent="0.3">
      <c r="A31" s="1" t="s">
        <v>64</v>
      </c>
      <c r="B31" s="1" t="s">
        <v>65</v>
      </c>
      <c r="C31" s="2">
        <v>2.160040159626108E-2</v>
      </c>
      <c r="D31" s="2">
        <v>2.0833333333333332E-2</v>
      </c>
      <c r="E31" s="2">
        <v>0.02</v>
      </c>
      <c r="F31" s="2">
        <v>1.2934042139201875E-2</v>
      </c>
      <c r="G31" s="3">
        <v>0.02</v>
      </c>
    </row>
    <row r="32" spans="1:7" x14ac:dyDescent="0.3">
      <c r="A32" s="1" t="s">
        <v>66</v>
      </c>
      <c r="B32" s="1" t="s">
        <v>67</v>
      </c>
      <c r="C32" s="2">
        <v>2.3304058052545519E-2</v>
      </c>
      <c r="D32" s="2">
        <v>2.0833333333333332E-2</v>
      </c>
      <c r="E32" s="2">
        <v>0.02</v>
      </c>
      <c r="F32" s="2">
        <v>1.236041936625918E-2</v>
      </c>
      <c r="G32" s="3">
        <v>0.02</v>
      </c>
    </row>
    <row r="33" spans="1:7" x14ac:dyDescent="0.3">
      <c r="A33" s="1" t="s">
        <v>68</v>
      </c>
      <c r="B33" s="1" t="s">
        <v>69</v>
      </c>
      <c r="C33" s="2">
        <v>2.161415439008707E-2</v>
      </c>
      <c r="D33" s="2">
        <v>2.0833333333333332E-2</v>
      </c>
      <c r="E33" s="2">
        <v>0.02</v>
      </c>
      <c r="F33" s="2">
        <v>7.3383094688469477E-3</v>
      </c>
      <c r="G33" s="3">
        <v>0.02</v>
      </c>
    </row>
    <row r="34" spans="1:7" x14ac:dyDescent="0.3">
      <c r="A34" s="1" t="s">
        <v>70</v>
      </c>
      <c r="B34" s="1" t="s">
        <v>71</v>
      </c>
      <c r="C34" s="2">
        <v>2.0900702529818883E-2</v>
      </c>
      <c r="D34" s="2">
        <v>2.0833333333333332E-2</v>
      </c>
      <c r="E34" s="2">
        <v>0.02</v>
      </c>
      <c r="F34" s="2">
        <v>6.875614222857266E-3</v>
      </c>
      <c r="G34" s="3">
        <v>0.02</v>
      </c>
    </row>
    <row r="35" spans="1:7" x14ac:dyDescent="0.3">
      <c r="A35" s="1" t="s">
        <v>72</v>
      </c>
      <c r="B35" s="1" t="s">
        <v>72</v>
      </c>
      <c r="C35" s="2">
        <v>1.9394393757223016E-2</v>
      </c>
      <c r="D35" s="2">
        <v>2.0833333333333332E-2</v>
      </c>
      <c r="E35" s="2">
        <v>0.02</v>
      </c>
      <c r="F35" s="2">
        <v>2.3393619405226141E-3</v>
      </c>
      <c r="G35" s="3">
        <v>1.4999999999999999E-2</v>
      </c>
    </row>
    <row r="36" spans="1:7" x14ac:dyDescent="0.3">
      <c r="A36" s="1" t="s">
        <v>73</v>
      </c>
      <c r="B36" s="1" t="s">
        <v>74</v>
      </c>
      <c r="C36" s="2">
        <v>2.0535100495627935E-2</v>
      </c>
      <c r="D36" s="2">
        <v>2.0833333333333332E-2</v>
      </c>
      <c r="E36" s="2">
        <v>0.02</v>
      </c>
      <c r="F36" s="2">
        <v>0</v>
      </c>
      <c r="G36" s="3">
        <v>1.4999999999999999E-2</v>
      </c>
    </row>
    <row r="37" spans="1:7" x14ac:dyDescent="0.3">
      <c r="A37" s="1" t="s">
        <v>75</v>
      </c>
      <c r="B37" s="1" t="s">
        <v>76</v>
      </c>
      <c r="C37" s="2">
        <v>1.2655874306439645E-2</v>
      </c>
      <c r="D37" s="2">
        <v>2.0833333333333332E-2</v>
      </c>
      <c r="E37" s="2">
        <v>0.02</v>
      </c>
      <c r="F37" s="2">
        <v>1.6801811436122298E-2</v>
      </c>
      <c r="G37" s="3">
        <f>F37</f>
        <v>1.6801811436122298E-2</v>
      </c>
    </row>
    <row r="38" spans="1:7" x14ac:dyDescent="0.3">
      <c r="A38" s="1" t="s">
        <v>77</v>
      </c>
      <c r="B38" s="1" t="s">
        <v>78</v>
      </c>
      <c r="C38" s="2">
        <v>1.6102432591667184E-2</v>
      </c>
      <c r="D38" s="2">
        <v>2.0833333333333332E-2</v>
      </c>
      <c r="E38" s="2">
        <v>0.02</v>
      </c>
      <c r="F38" s="2">
        <v>4.1987666814559052E-2</v>
      </c>
      <c r="G38" s="3">
        <f>C38</f>
        <v>1.6102432591667184E-2</v>
      </c>
    </row>
    <row r="39" spans="1:7" x14ac:dyDescent="0.3">
      <c r="A39" s="1" t="s">
        <v>79</v>
      </c>
      <c r="B39" s="1" t="s">
        <v>80</v>
      </c>
      <c r="C39" s="2">
        <v>1.4402900092067421E-2</v>
      </c>
      <c r="D39" s="2">
        <v>2.0833333333333332E-2</v>
      </c>
      <c r="E39" s="2">
        <v>0.02</v>
      </c>
      <c r="F39" s="2">
        <v>1.5745147629476024E-2</v>
      </c>
      <c r="G39" s="3">
        <f>C39</f>
        <v>1.4402900092067421E-2</v>
      </c>
    </row>
    <row r="40" spans="1:7" x14ac:dyDescent="0.3">
      <c r="A40" s="1" t="s">
        <v>81</v>
      </c>
      <c r="B40" s="1" t="s">
        <v>82</v>
      </c>
      <c r="C40" s="2">
        <v>1.1634644682155557E-2</v>
      </c>
      <c r="D40" s="2">
        <v>2.0833333333333332E-2</v>
      </c>
      <c r="E40" s="2">
        <v>0.02</v>
      </c>
      <c r="F40" s="2">
        <v>1.5384308603232153E-2</v>
      </c>
      <c r="G40" s="3">
        <f>C40</f>
        <v>1.1634644682155557E-2</v>
      </c>
    </row>
    <row r="41" spans="1:7" x14ac:dyDescent="0.3">
      <c r="A41" s="1" t="s">
        <v>83</v>
      </c>
      <c r="B41" s="1" t="s">
        <v>84</v>
      </c>
      <c r="C41" s="2">
        <v>1.5071359013861849E-2</v>
      </c>
      <c r="D41" s="2">
        <v>2.0833333333333332E-2</v>
      </c>
      <c r="E41" s="2">
        <v>0.02</v>
      </c>
      <c r="F41" s="2">
        <v>1.2935820015561653E-2</v>
      </c>
      <c r="G41" s="3">
        <v>0.01</v>
      </c>
    </row>
    <row r="42" spans="1:7" x14ac:dyDescent="0.3">
      <c r="A42" s="1" t="s">
        <v>85</v>
      </c>
      <c r="B42" s="1" t="s">
        <v>86</v>
      </c>
      <c r="C42" s="2">
        <v>2.1408835907846046E-2</v>
      </c>
      <c r="D42" s="2">
        <v>2.0833333333333332E-2</v>
      </c>
      <c r="E42" s="2">
        <v>0.02</v>
      </c>
      <c r="F42" s="2">
        <v>4.2694038565339616E-4</v>
      </c>
      <c r="G42" s="3">
        <v>0.01</v>
      </c>
    </row>
    <row r="43" spans="1:7" x14ac:dyDescent="0.3">
      <c r="A43" s="1" t="s">
        <v>87</v>
      </c>
      <c r="B43" s="1" t="s">
        <v>88</v>
      </c>
      <c r="F43" s="2">
        <v>0</v>
      </c>
      <c r="G43" s="3">
        <v>0.01</v>
      </c>
    </row>
    <row r="44" spans="1:7" x14ac:dyDescent="0.3">
      <c r="A44" s="1" t="s">
        <v>89</v>
      </c>
      <c r="B44" s="1" t="s">
        <v>90</v>
      </c>
      <c r="F44" s="2">
        <v>0</v>
      </c>
      <c r="G44" s="3">
        <v>0.01</v>
      </c>
    </row>
    <row r="45" spans="1:7" x14ac:dyDescent="0.3">
      <c r="A45" s="1" t="s">
        <v>91</v>
      </c>
      <c r="B45" s="1" t="s">
        <v>92</v>
      </c>
      <c r="C45" s="2">
        <v>8.9995222710261401E-3</v>
      </c>
      <c r="D45" s="2">
        <v>2.0833333333333332E-2</v>
      </c>
      <c r="E45" s="2">
        <v>0.02</v>
      </c>
      <c r="F45" s="2">
        <v>1.95975087815001E-2</v>
      </c>
      <c r="G45" s="3">
        <f>C45</f>
        <v>8.9995222710261401E-3</v>
      </c>
    </row>
    <row r="46" spans="1:7" x14ac:dyDescent="0.3">
      <c r="G46" s="3"/>
    </row>
  </sheetData>
  <sortState xmlns:xlrd2="http://schemas.microsoft.com/office/spreadsheetml/2017/richdata2" ref="A2:G45">
    <sortCondition ref="G2:G45"/>
  </sortState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D48A2-1913-4D2B-A85B-CFBC074F4844}">
  <dimension ref="A1:G45"/>
  <sheetViews>
    <sheetView workbookViewId="0">
      <selection activeCell="J15" sqref="J15"/>
    </sheetView>
  </sheetViews>
  <sheetFormatPr defaultRowHeight="14.4" x14ac:dyDescent="0.3"/>
  <cols>
    <col min="1" max="1" width="11.109375" bestFit="1" customWidth="1"/>
    <col min="2" max="2" width="24" bestFit="1" customWidth="1"/>
    <col min="3" max="3" width="14.33203125" bestFit="1" customWidth="1"/>
    <col min="4" max="4" width="12" bestFit="1" customWidth="1"/>
    <col min="5" max="5" width="14.21875" customWidth="1"/>
    <col min="6" max="6" width="40.5546875" bestFit="1" customWidth="1"/>
    <col min="7" max="7" width="10.88671875" bestFit="1" customWidth="1"/>
  </cols>
  <sheetData>
    <row r="1" spans="1:7" ht="28.8" x14ac:dyDescent="0.3">
      <c r="A1" s="4" t="s">
        <v>0</v>
      </c>
      <c r="B1" s="4" t="s">
        <v>93</v>
      </c>
      <c r="C1" s="4" t="s">
        <v>94</v>
      </c>
      <c r="D1" s="4" t="s">
        <v>95</v>
      </c>
      <c r="E1" s="4" t="s">
        <v>98</v>
      </c>
      <c r="F1" s="4" t="s">
        <v>99</v>
      </c>
      <c r="G1" s="4" t="s">
        <v>100</v>
      </c>
    </row>
    <row r="2" spans="1:7" x14ac:dyDescent="0.3">
      <c r="A2" s="1" t="s">
        <v>7</v>
      </c>
      <c r="B2" s="5">
        <v>9.9970796643688395E-2</v>
      </c>
      <c r="C2" s="5">
        <v>0.101985403125379</v>
      </c>
      <c r="D2" s="5">
        <v>0.106288285637747</v>
      </c>
      <c r="E2" t="s">
        <v>96</v>
      </c>
      <c r="F2" t="s">
        <v>96</v>
      </c>
      <c r="G2" s="1">
        <f t="shared" ref="G2:G45" si="0">IF(E2=F2,1,0)</f>
        <v>1</v>
      </c>
    </row>
    <row r="3" spans="1:7" x14ac:dyDescent="0.3">
      <c r="A3" s="1" t="s">
        <v>9</v>
      </c>
      <c r="B3" s="5">
        <v>0.98151043516972403</v>
      </c>
      <c r="C3" s="5">
        <v>1.0317619262255</v>
      </c>
      <c r="D3" s="5">
        <v>0.54933115493879503</v>
      </c>
      <c r="E3" t="s">
        <v>97</v>
      </c>
      <c r="F3" t="s">
        <v>97</v>
      </c>
      <c r="G3" s="1">
        <f t="shared" si="0"/>
        <v>1</v>
      </c>
    </row>
    <row r="4" spans="1:7" x14ac:dyDescent="0.3">
      <c r="A4" s="1" t="s">
        <v>13</v>
      </c>
      <c r="B4" s="5">
        <v>0.28865692014155803</v>
      </c>
      <c r="C4" s="5">
        <v>0.24619264609123601</v>
      </c>
      <c r="D4" s="5">
        <v>0.194024803218727</v>
      </c>
      <c r="E4" t="s">
        <v>97</v>
      </c>
      <c r="F4" t="s">
        <v>97</v>
      </c>
      <c r="G4" s="1">
        <f t="shared" si="0"/>
        <v>1</v>
      </c>
    </row>
    <row r="5" spans="1:7" x14ac:dyDescent="0.3">
      <c r="A5" s="1" t="s">
        <v>17</v>
      </c>
      <c r="B5" s="5">
        <v>0.29466072231986601</v>
      </c>
      <c r="C5" s="5">
        <v>0.26876264149425599</v>
      </c>
      <c r="D5" s="5">
        <v>0.25025459434137498</v>
      </c>
      <c r="E5" t="s">
        <v>97</v>
      </c>
      <c r="F5" t="s">
        <v>97</v>
      </c>
      <c r="G5" s="1">
        <f t="shared" si="0"/>
        <v>1</v>
      </c>
    </row>
    <row r="6" spans="1:7" x14ac:dyDescent="0.3">
      <c r="A6" s="1" t="s">
        <v>19</v>
      </c>
      <c r="B6" s="5">
        <v>0.218614844706468</v>
      </c>
      <c r="C6" s="5">
        <v>0.19484210005236099</v>
      </c>
      <c r="D6" s="5">
        <v>0.17873356689161399</v>
      </c>
      <c r="E6" t="s">
        <v>97</v>
      </c>
      <c r="F6" t="s">
        <v>97</v>
      </c>
      <c r="G6" s="1">
        <f t="shared" si="0"/>
        <v>1</v>
      </c>
    </row>
    <row r="7" spans="1:7" x14ac:dyDescent="0.3">
      <c r="A7" s="1" t="s">
        <v>21</v>
      </c>
      <c r="B7" s="5">
        <v>0.32933821305133298</v>
      </c>
      <c r="C7" s="5">
        <v>0.207119923656712</v>
      </c>
      <c r="D7" s="5">
        <v>0.20364921211867101</v>
      </c>
      <c r="E7" t="s">
        <v>97</v>
      </c>
      <c r="F7" t="s">
        <v>97</v>
      </c>
      <c r="G7" s="1">
        <f t="shared" si="0"/>
        <v>1</v>
      </c>
    </row>
    <row r="8" spans="1:7" x14ac:dyDescent="0.3">
      <c r="A8" s="1" t="s">
        <v>25</v>
      </c>
      <c r="B8" s="5">
        <v>2.3927270922232302</v>
      </c>
      <c r="C8" s="5">
        <v>0.39657642323685999</v>
      </c>
      <c r="D8" s="5">
        <v>0.39815606473322102</v>
      </c>
      <c r="E8" t="s">
        <v>97</v>
      </c>
      <c r="F8" t="s">
        <v>97</v>
      </c>
      <c r="G8" s="1">
        <f t="shared" si="0"/>
        <v>1</v>
      </c>
    </row>
    <row r="9" spans="1:7" x14ac:dyDescent="0.3">
      <c r="A9" s="1" t="s">
        <v>27</v>
      </c>
      <c r="B9" s="5">
        <v>0.18425078478161799</v>
      </c>
      <c r="C9" s="5">
        <v>0.19146059189326101</v>
      </c>
      <c r="D9" s="5">
        <v>0.19176179557152301</v>
      </c>
      <c r="E9" t="s">
        <v>96</v>
      </c>
      <c r="F9" t="s">
        <v>96</v>
      </c>
      <c r="G9" s="1">
        <f t="shared" si="0"/>
        <v>1</v>
      </c>
    </row>
    <row r="10" spans="1:7" x14ac:dyDescent="0.3">
      <c r="A10" s="1" t="s">
        <v>29</v>
      </c>
      <c r="B10" s="5">
        <v>0.12419544040043499</v>
      </c>
      <c r="C10" s="5">
        <v>0.11469918332133799</v>
      </c>
      <c r="D10" s="5">
        <v>0.103334534457071</v>
      </c>
      <c r="E10" t="s">
        <v>97</v>
      </c>
      <c r="F10" t="s">
        <v>97</v>
      </c>
      <c r="G10" s="1">
        <f t="shared" si="0"/>
        <v>1</v>
      </c>
    </row>
    <row r="11" spans="1:7" x14ac:dyDescent="0.3">
      <c r="A11" s="1" t="s">
        <v>31</v>
      </c>
      <c r="B11" s="5">
        <v>0.17083091079549201</v>
      </c>
      <c r="C11" s="5">
        <v>0.17277316539733001</v>
      </c>
      <c r="D11" s="5">
        <v>0.14782143877565199</v>
      </c>
      <c r="E11" t="s">
        <v>97</v>
      </c>
      <c r="F11" t="s">
        <v>97</v>
      </c>
      <c r="G11" s="1">
        <f t="shared" si="0"/>
        <v>1</v>
      </c>
    </row>
    <row r="12" spans="1:7" x14ac:dyDescent="0.3">
      <c r="A12" s="1" t="s">
        <v>37</v>
      </c>
      <c r="B12" s="5">
        <v>0.18126835237963199</v>
      </c>
      <c r="C12" s="5">
        <v>0.19833597144979101</v>
      </c>
      <c r="D12" s="5">
        <v>0.17254837819544</v>
      </c>
      <c r="E12" t="s">
        <v>97</v>
      </c>
      <c r="F12" t="s">
        <v>97</v>
      </c>
      <c r="G12" s="1">
        <f t="shared" si="0"/>
        <v>1</v>
      </c>
    </row>
    <row r="13" spans="1:7" x14ac:dyDescent="0.3">
      <c r="A13" s="1" t="s">
        <v>47</v>
      </c>
      <c r="B13" s="5">
        <v>0.20078479058550699</v>
      </c>
      <c r="C13" s="5">
        <v>0.75214400668558601</v>
      </c>
      <c r="D13" s="5">
        <v>0.454941645076201</v>
      </c>
      <c r="E13" t="s">
        <v>96</v>
      </c>
      <c r="F13" t="s">
        <v>96</v>
      </c>
      <c r="G13" s="1">
        <f t="shared" si="0"/>
        <v>1</v>
      </c>
    </row>
    <row r="14" spans="1:7" x14ac:dyDescent="0.3">
      <c r="A14" s="1" t="s">
        <v>50</v>
      </c>
      <c r="B14" s="5">
        <v>-0.109585220803599</v>
      </c>
      <c r="C14" s="5">
        <v>0.41992662898633698</v>
      </c>
      <c r="D14" s="5">
        <v>0.34067323407837802</v>
      </c>
      <c r="E14" t="s">
        <v>96</v>
      </c>
      <c r="F14" t="s">
        <v>96</v>
      </c>
      <c r="G14" s="1">
        <f t="shared" si="0"/>
        <v>1</v>
      </c>
    </row>
    <row r="15" spans="1:7" x14ac:dyDescent="0.3">
      <c r="A15" s="1" t="s">
        <v>54</v>
      </c>
      <c r="B15" s="5">
        <v>0.169095800608214</v>
      </c>
      <c r="C15" s="5">
        <v>0.19465768931489899</v>
      </c>
      <c r="D15" s="5">
        <v>0.18179410375442101</v>
      </c>
      <c r="E15" t="s">
        <v>96</v>
      </c>
      <c r="F15" t="s">
        <v>96</v>
      </c>
      <c r="G15" s="1">
        <f t="shared" si="0"/>
        <v>1</v>
      </c>
    </row>
    <row r="16" spans="1:7" x14ac:dyDescent="0.3">
      <c r="A16" s="1" t="s">
        <v>56</v>
      </c>
      <c r="B16" s="5">
        <v>0.114509145994084</v>
      </c>
      <c r="C16" s="5">
        <v>0.13059970073365601</v>
      </c>
      <c r="D16" s="5">
        <v>0.12809784487696901</v>
      </c>
      <c r="E16" t="s">
        <v>96</v>
      </c>
      <c r="F16" t="s">
        <v>96</v>
      </c>
      <c r="G16" s="1">
        <f t="shared" si="0"/>
        <v>1</v>
      </c>
    </row>
    <row r="17" spans="1:7" x14ac:dyDescent="0.3">
      <c r="A17" s="1" t="s">
        <v>60</v>
      </c>
      <c r="B17" s="5">
        <v>0.15501347719973099</v>
      </c>
      <c r="C17" s="5">
        <v>0.218056534670166</v>
      </c>
      <c r="D17" s="5">
        <v>0.158607267250652</v>
      </c>
      <c r="E17" t="s">
        <v>96</v>
      </c>
      <c r="F17" t="s">
        <v>96</v>
      </c>
      <c r="G17" s="1">
        <f t="shared" si="0"/>
        <v>1</v>
      </c>
    </row>
    <row r="18" spans="1:7" x14ac:dyDescent="0.3">
      <c r="A18" s="1" t="s">
        <v>62</v>
      </c>
      <c r="B18" s="5">
        <v>0.15739486650644599</v>
      </c>
      <c r="C18" s="5">
        <v>0.203094908512398</v>
      </c>
      <c r="D18" s="5">
        <v>0.156620395964024</v>
      </c>
      <c r="E18" t="s">
        <v>97</v>
      </c>
      <c r="F18" t="s">
        <v>97</v>
      </c>
      <c r="G18" s="1">
        <f t="shared" si="0"/>
        <v>1</v>
      </c>
    </row>
    <row r="19" spans="1:7" x14ac:dyDescent="0.3">
      <c r="A19" s="1" t="s">
        <v>66</v>
      </c>
      <c r="B19" s="5">
        <v>0.122606506612831</v>
      </c>
      <c r="C19" s="5">
        <v>0.131741486984437</v>
      </c>
      <c r="D19" s="5">
        <v>0.122521158585505</v>
      </c>
      <c r="E19" t="s">
        <v>97</v>
      </c>
      <c r="F19" t="s">
        <v>97</v>
      </c>
      <c r="G19" s="1">
        <f t="shared" si="0"/>
        <v>1</v>
      </c>
    </row>
    <row r="20" spans="1:7" x14ac:dyDescent="0.3">
      <c r="A20" s="1" t="s">
        <v>68</v>
      </c>
      <c r="B20" s="5">
        <v>0.111075451346054</v>
      </c>
      <c r="C20" s="5">
        <v>0.115278812689219</v>
      </c>
      <c r="D20" s="5">
        <v>7.4393108678841802E-2</v>
      </c>
      <c r="E20" t="s">
        <v>97</v>
      </c>
      <c r="F20" t="s">
        <v>97</v>
      </c>
      <c r="G20" s="1">
        <f t="shared" si="0"/>
        <v>1</v>
      </c>
    </row>
    <row r="21" spans="1:7" x14ac:dyDescent="0.3">
      <c r="A21" s="1" t="s">
        <v>70</v>
      </c>
      <c r="B21" s="5">
        <v>0.104586758410462</v>
      </c>
      <c r="C21" s="5">
        <v>0.119424168116938</v>
      </c>
      <c r="D21" s="5">
        <v>0.100006193741087</v>
      </c>
      <c r="E21" t="s">
        <v>97</v>
      </c>
      <c r="F21" t="s">
        <v>97</v>
      </c>
      <c r="G21" s="1">
        <f t="shared" si="0"/>
        <v>1</v>
      </c>
    </row>
    <row r="22" spans="1:7" x14ac:dyDescent="0.3">
      <c r="A22" s="1" t="s">
        <v>77</v>
      </c>
      <c r="B22" s="5">
        <v>0.44055576557985998</v>
      </c>
      <c r="C22" s="5">
        <v>0.30456059573857602</v>
      </c>
      <c r="D22" s="5">
        <v>0.32258355807496403</v>
      </c>
      <c r="E22" t="s">
        <v>97</v>
      </c>
      <c r="F22" t="s">
        <v>97</v>
      </c>
      <c r="G22" s="1">
        <f t="shared" si="0"/>
        <v>1</v>
      </c>
    </row>
    <row r="23" spans="1:7" x14ac:dyDescent="0.3">
      <c r="A23" s="1" t="s">
        <v>87</v>
      </c>
      <c r="B23" s="5">
        <v>0.125274791591893</v>
      </c>
      <c r="C23" s="5">
        <v>0.15273684407320801</v>
      </c>
      <c r="D23" s="5">
        <v>0.110675914332829</v>
      </c>
      <c r="E23" t="s">
        <v>97</v>
      </c>
      <c r="F23" t="s">
        <v>97</v>
      </c>
      <c r="G23" s="1">
        <f t="shared" si="0"/>
        <v>1</v>
      </c>
    </row>
    <row r="24" spans="1:7" x14ac:dyDescent="0.3">
      <c r="A24" s="1" t="s">
        <v>91</v>
      </c>
      <c r="B24" s="5">
        <v>-1.05989528613491</v>
      </c>
      <c r="C24" s="5">
        <v>0.85194215273173302</v>
      </c>
      <c r="D24" s="5">
        <v>0.317295898120312</v>
      </c>
      <c r="E24" t="s">
        <v>96</v>
      </c>
      <c r="F24" t="s">
        <v>96</v>
      </c>
      <c r="G24" s="1">
        <f t="shared" si="0"/>
        <v>1</v>
      </c>
    </row>
    <row r="25" spans="1:7" x14ac:dyDescent="0.3">
      <c r="A25" s="1" t="s">
        <v>11</v>
      </c>
      <c r="B25" s="5">
        <v>9.2823084107623896E-2</v>
      </c>
      <c r="C25" s="5">
        <v>8.6107328724277593E-2</v>
      </c>
      <c r="D25" s="5">
        <v>8.0605697431397699E-2</v>
      </c>
      <c r="E25" t="s">
        <v>97</v>
      </c>
      <c r="F25" t="s">
        <v>96</v>
      </c>
      <c r="G25" s="1">
        <f t="shared" si="0"/>
        <v>0</v>
      </c>
    </row>
    <row r="26" spans="1:7" x14ac:dyDescent="0.3">
      <c r="A26" s="1" t="s">
        <v>15</v>
      </c>
      <c r="B26" s="5">
        <v>0.25737222515886998</v>
      </c>
      <c r="C26" s="5">
        <v>0.264015440055545</v>
      </c>
      <c r="D26" s="5">
        <v>0.23549379396068601</v>
      </c>
      <c r="E26" t="s">
        <v>97</v>
      </c>
      <c r="F26" t="s">
        <v>96</v>
      </c>
      <c r="G26" s="1">
        <f t="shared" si="0"/>
        <v>0</v>
      </c>
    </row>
    <row r="27" spans="1:7" x14ac:dyDescent="0.3">
      <c r="A27" s="1" t="s">
        <v>23</v>
      </c>
      <c r="B27" s="5">
        <v>0.37050596267036101</v>
      </c>
      <c r="C27" s="5">
        <v>0.332560367596687</v>
      </c>
      <c r="D27" s="5">
        <v>0.32511549819935198</v>
      </c>
      <c r="E27" t="s">
        <v>97</v>
      </c>
      <c r="F27" t="s">
        <v>96</v>
      </c>
      <c r="G27" s="1">
        <f t="shared" si="0"/>
        <v>0</v>
      </c>
    </row>
    <row r="28" spans="1:7" x14ac:dyDescent="0.3">
      <c r="A28" s="1" t="s">
        <v>33</v>
      </c>
      <c r="B28" s="5">
        <v>0.17030647941480401</v>
      </c>
      <c r="C28" s="5">
        <v>0.17194869695885401</v>
      </c>
      <c r="D28" s="5">
        <v>0.15768070759451</v>
      </c>
      <c r="E28" t="s">
        <v>97</v>
      </c>
      <c r="F28" t="s">
        <v>96</v>
      </c>
      <c r="G28" s="1">
        <f t="shared" si="0"/>
        <v>0</v>
      </c>
    </row>
    <row r="29" spans="1:7" x14ac:dyDescent="0.3">
      <c r="A29" s="1" t="s">
        <v>35</v>
      </c>
      <c r="B29" s="5">
        <v>0.260828233241854</v>
      </c>
      <c r="C29" s="5">
        <v>0.24091632556471601</v>
      </c>
      <c r="D29" s="5">
        <v>0.22998027477465499</v>
      </c>
      <c r="E29" t="s">
        <v>97</v>
      </c>
      <c r="F29" t="s">
        <v>96</v>
      </c>
      <c r="G29" s="1">
        <f t="shared" si="0"/>
        <v>0</v>
      </c>
    </row>
    <row r="30" spans="1:7" x14ac:dyDescent="0.3">
      <c r="A30" s="1" t="s">
        <v>39</v>
      </c>
      <c r="B30" s="5">
        <v>0.31888434651229502</v>
      </c>
      <c r="C30" s="5">
        <v>0.25084992615227703</v>
      </c>
      <c r="D30" s="5">
        <v>0.23268368589841101</v>
      </c>
      <c r="E30" t="s">
        <v>97</v>
      </c>
      <c r="F30" t="s">
        <v>96</v>
      </c>
      <c r="G30" s="1">
        <f t="shared" si="0"/>
        <v>0</v>
      </c>
    </row>
    <row r="31" spans="1:7" x14ac:dyDescent="0.3">
      <c r="A31" s="1" t="s">
        <v>41</v>
      </c>
      <c r="B31" s="5">
        <v>0.13065299184822601</v>
      </c>
      <c r="C31" s="5">
        <v>0.14408931459799501</v>
      </c>
      <c r="D31" s="5">
        <v>0.14488679467899401</v>
      </c>
      <c r="E31" t="s">
        <v>96</v>
      </c>
      <c r="F31" t="s">
        <v>97</v>
      </c>
      <c r="G31" s="1">
        <f t="shared" si="0"/>
        <v>0</v>
      </c>
    </row>
    <row r="32" spans="1:7" x14ac:dyDescent="0.3">
      <c r="A32" s="1" t="s">
        <v>43</v>
      </c>
      <c r="B32" s="5">
        <v>0.174325524492352</v>
      </c>
      <c r="C32" s="5">
        <v>0.17621967780467601</v>
      </c>
      <c r="D32" s="5">
        <v>0.16788391335097599</v>
      </c>
      <c r="E32" t="s">
        <v>97</v>
      </c>
      <c r="F32" t="s">
        <v>96</v>
      </c>
      <c r="G32" s="1">
        <f t="shared" si="0"/>
        <v>0</v>
      </c>
    </row>
    <row r="33" spans="1:7" x14ac:dyDescent="0.3">
      <c r="A33" s="1" t="s">
        <v>45</v>
      </c>
      <c r="B33" s="5">
        <v>0.16529579084087501</v>
      </c>
      <c r="C33" s="5">
        <v>0.177974942678155</v>
      </c>
      <c r="D33" s="5">
        <v>0.192659231354779</v>
      </c>
      <c r="E33" t="s">
        <v>96</v>
      </c>
      <c r="F33" t="s">
        <v>97</v>
      </c>
      <c r="G33" s="1">
        <f t="shared" si="0"/>
        <v>0</v>
      </c>
    </row>
    <row r="34" spans="1:7" x14ac:dyDescent="0.3">
      <c r="A34" s="1" t="s">
        <v>49</v>
      </c>
      <c r="B34" s="5">
        <v>0.26647883052564197</v>
      </c>
      <c r="C34" s="5">
        <v>0.28620659383586</v>
      </c>
      <c r="D34" s="5">
        <v>0.25738084386337301</v>
      </c>
      <c r="E34" t="s">
        <v>97</v>
      </c>
      <c r="F34" t="s">
        <v>96</v>
      </c>
      <c r="G34" s="1">
        <f t="shared" si="0"/>
        <v>0</v>
      </c>
    </row>
    <row r="35" spans="1:7" x14ac:dyDescent="0.3">
      <c r="A35" s="1" t="s">
        <v>52</v>
      </c>
      <c r="B35" s="5">
        <v>0.43585832695777099</v>
      </c>
      <c r="C35" s="5">
        <v>0.27918412898754602</v>
      </c>
      <c r="D35" s="5">
        <v>0.243669960636097</v>
      </c>
      <c r="E35" t="s">
        <v>97</v>
      </c>
      <c r="F35" t="s">
        <v>96</v>
      </c>
      <c r="G35" s="1">
        <f t="shared" si="0"/>
        <v>0</v>
      </c>
    </row>
    <row r="36" spans="1:7" x14ac:dyDescent="0.3">
      <c r="A36" s="1" t="s">
        <v>58</v>
      </c>
      <c r="B36" s="5">
        <v>0.20246599802829099</v>
      </c>
      <c r="C36" s="5">
        <v>0.18986732833786099</v>
      </c>
      <c r="D36" s="5">
        <v>0.138003977094487</v>
      </c>
      <c r="E36" t="s">
        <v>97</v>
      </c>
      <c r="F36" t="s">
        <v>96</v>
      </c>
      <c r="G36" s="1">
        <f t="shared" si="0"/>
        <v>0</v>
      </c>
    </row>
    <row r="37" spans="1:7" x14ac:dyDescent="0.3">
      <c r="A37" s="1" t="s">
        <v>64</v>
      </c>
      <c r="B37" s="5">
        <v>9.4459587153328403E-2</v>
      </c>
      <c r="C37" s="5">
        <v>0.120438767156809</v>
      </c>
      <c r="D37" s="5">
        <v>0.123430801414473</v>
      </c>
      <c r="E37" t="s">
        <v>96</v>
      </c>
      <c r="F37" t="s">
        <v>97</v>
      </c>
      <c r="G37" s="1">
        <f t="shared" si="0"/>
        <v>0</v>
      </c>
    </row>
    <row r="38" spans="1:7" x14ac:dyDescent="0.3">
      <c r="A38" s="1" t="s">
        <v>72</v>
      </c>
      <c r="B38" s="5">
        <v>6.7292837165715602E-2</v>
      </c>
      <c r="C38" s="5">
        <v>0.112958659809463</v>
      </c>
      <c r="D38" s="5">
        <v>9.2829501863896893E-2</v>
      </c>
      <c r="E38" t="s">
        <v>96</v>
      </c>
      <c r="F38" t="s">
        <v>97</v>
      </c>
      <c r="G38" s="1">
        <f t="shared" si="0"/>
        <v>0</v>
      </c>
    </row>
    <row r="39" spans="1:7" x14ac:dyDescent="0.3">
      <c r="A39" s="1" t="s">
        <v>73</v>
      </c>
      <c r="B39" s="5">
        <v>7.6033082270568902E-2</v>
      </c>
      <c r="C39" s="5">
        <v>0.139935670103427</v>
      </c>
      <c r="D39" s="5">
        <v>0.104774584590376</v>
      </c>
      <c r="E39" t="s">
        <v>96</v>
      </c>
      <c r="F39" t="s">
        <v>97</v>
      </c>
      <c r="G39" s="1">
        <f t="shared" si="0"/>
        <v>0</v>
      </c>
    </row>
    <row r="40" spans="1:7" x14ac:dyDescent="0.3">
      <c r="A40" s="1" t="s">
        <v>75</v>
      </c>
      <c r="B40" s="5">
        <v>0.34206328380845102</v>
      </c>
      <c r="C40" s="5">
        <v>0.29442774513227798</v>
      </c>
      <c r="D40" s="5">
        <v>0.26910352276053401</v>
      </c>
      <c r="E40" t="s">
        <v>97</v>
      </c>
      <c r="F40" t="s">
        <v>96</v>
      </c>
      <c r="G40" s="1">
        <f t="shared" si="0"/>
        <v>0</v>
      </c>
    </row>
    <row r="41" spans="1:7" x14ac:dyDescent="0.3">
      <c r="A41" s="1" t="s">
        <v>79</v>
      </c>
      <c r="B41" s="5">
        <v>0.18100585605505701</v>
      </c>
      <c r="C41" s="5">
        <v>0.22068197132506701</v>
      </c>
      <c r="D41" s="5">
        <v>0.19545900633975</v>
      </c>
      <c r="E41" t="s">
        <v>96</v>
      </c>
      <c r="F41" t="s">
        <v>97</v>
      </c>
      <c r="G41" s="1">
        <f t="shared" si="0"/>
        <v>0</v>
      </c>
    </row>
    <row r="42" spans="1:7" x14ac:dyDescent="0.3">
      <c r="A42" s="1" t="s">
        <v>81</v>
      </c>
      <c r="B42" s="5">
        <v>0.18217230149129601</v>
      </c>
      <c r="C42" s="5">
        <v>0.31583268276216703</v>
      </c>
      <c r="D42" s="5">
        <v>0.23936691440899099</v>
      </c>
      <c r="E42" t="s">
        <v>96</v>
      </c>
      <c r="F42" t="s">
        <v>97</v>
      </c>
      <c r="G42" s="1">
        <f t="shared" si="0"/>
        <v>0</v>
      </c>
    </row>
    <row r="43" spans="1:7" x14ac:dyDescent="0.3">
      <c r="A43" s="1" t="s">
        <v>83</v>
      </c>
      <c r="B43" s="5">
        <v>0.14033125453041301</v>
      </c>
      <c r="C43" s="5">
        <v>0.17328213312733101</v>
      </c>
      <c r="D43" s="5">
        <v>0.13855748548755401</v>
      </c>
      <c r="E43" t="s">
        <v>97</v>
      </c>
      <c r="F43" t="s">
        <v>96</v>
      </c>
      <c r="G43" s="1">
        <f t="shared" si="0"/>
        <v>0</v>
      </c>
    </row>
    <row r="44" spans="1:7" x14ac:dyDescent="0.3">
      <c r="A44" s="1" t="s">
        <v>85</v>
      </c>
      <c r="B44" s="5">
        <v>7.7821254329105194E-2</v>
      </c>
      <c r="C44" s="5">
        <v>0.121934818375642</v>
      </c>
      <c r="D44" s="5">
        <v>9.5909309783740904E-2</v>
      </c>
      <c r="E44" t="s">
        <v>96</v>
      </c>
      <c r="F44" t="s">
        <v>97</v>
      </c>
      <c r="G44" s="1">
        <f t="shared" si="0"/>
        <v>0</v>
      </c>
    </row>
    <row r="45" spans="1:7" x14ac:dyDescent="0.3">
      <c r="A45" s="1" t="s">
        <v>89</v>
      </c>
      <c r="B45" s="5">
        <v>4.4100371516974997E-2</v>
      </c>
      <c r="C45" s="5">
        <v>5.9127016200098297E-2</v>
      </c>
      <c r="D45" s="5">
        <v>4.5433448906163403E-2</v>
      </c>
      <c r="E45" t="s">
        <v>96</v>
      </c>
      <c r="F45" t="s">
        <v>97</v>
      </c>
      <c r="G45" s="1">
        <f t="shared" si="0"/>
        <v>0</v>
      </c>
    </row>
  </sheetData>
  <sortState xmlns:xlrd2="http://schemas.microsoft.com/office/spreadsheetml/2017/richdata2" ref="A2:G45">
    <sortCondition descending="1" ref="G1:G45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FB965-EC23-433E-80DD-F0EBE994C921}">
  <dimension ref="B2:E45"/>
  <sheetViews>
    <sheetView workbookViewId="0">
      <selection activeCell="B2" sqref="B2:E45"/>
    </sheetView>
  </sheetViews>
  <sheetFormatPr defaultRowHeight="14.4" x14ac:dyDescent="0.3"/>
  <sheetData>
    <row r="2" spans="2:5" x14ac:dyDescent="0.3">
      <c r="B2">
        <f>Sheet2!B2</f>
        <v>1.8097363996180001E-2</v>
      </c>
      <c r="C2">
        <f>Sheet2!C2</f>
        <v>2.27272727272727E-2</v>
      </c>
      <c r="D2">
        <f>Sheet2!D2</f>
        <v>0.02</v>
      </c>
      <c r="E2">
        <f>Sheet2!E2</f>
        <v>3.5636537523040198E-3</v>
      </c>
    </row>
    <row r="3" spans="2:5" x14ac:dyDescent="0.3">
      <c r="B3">
        <f>Sheet2!B3</f>
        <v>2.3540222025626799E-2</v>
      </c>
      <c r="C3">
        <f>Sheet2!C3</f>
        <v>2.27272727272727E-2</v>
      </c>
      <c r="D3">
        <f>Sheet2!D3</f>
        <v>0.02</v>
      </c>
      <c r="E3">
        <f>Sheet2!E3</f>
        <v>3.6577614998355198E-2</v>
      </c>
    </row>
    <row r="4" spans="2:5" x14ac:dyDescent="0.3">
      <c r="B4">
        <f>Sheet2!B4</f>
        <v>3.0018470167653102E-2</v>
      </c>
      <c r="C4">
        <f>Sheet2!C4</f>
        <v>2.27272727272727E-2</v>
      </c>
      <c r="D4">
        <f>Sheet2!D4</f>
        <v>0.02</v>
      </c>
      <c r="E4">
        <f>Sheet2!E4</f>
        <v>2.97319862324038E-2</v>
      </c>
    </row>
    <row r="5" spans="2:5" x14ac:dyDescent="0.3">
      <c r="B5">
        <f>Sheet2!B5</f>
        <v>1.55418709602471E-2</v>
      </c>
      <c r="C5">
        <f>Sheet2!C5</f>
        <v>2.27272727272727E-2</v>
      </c>
      <c r="D5">
        <f>Sheet2!D5</f>
        <v>0.02</v>
      </c>
      <c r="E5">
        <f>Sheet2!E5</f>
        <v>1.5947015523281899E-2</v>
      </c>
    </row>
    <row r="6" spans="2:5" x14ac:dyDescent="0.3">
      <c r="B6">
        <f>Sheet2!B6</f>
        <v>1.66182063119075E-2</v>
      </c>
      <c r="C6">
        <f>Sheet2!C6</f>
        <v>2.27272727272727E-2</v>
      </c>
      <c r="D6">
        <f>Sheet2!D6</f>
        <v>0.02</v>
      </c>
      <c r="E6">
        <f>Sheet2!E6</f>
        <v>1.42478765660413E-2</v>
      </c>
    </row>
    <row r="7" spans="2:5" x14ac:dyDescent="0.3">
      <c r="B7">
        <f>Sheet2!B7</f>
        <v>2.1834163697429399E-2</v>
      </c>
      <c r="C7">
        <f>Sheet2!C7</f>
        <v>2.27272727272727E-2</v>
      </c>
      <c r="D7">
        <f>Sheet2!D7</f>
        <v>0.02</v>
      </c>
      <c r="E7">
        <f>Sheet2!E7</f>
        <v>2.9754007122678901E-2</v>
      </c>
    </row>
    <row r="8" spans="2:5" x14ac:dyDescent="0.3">
      <c r="B8">
        <f>Sheet2!B8</f>
        <v>1.86302838739483E-2</v>
      </c>
      <c r="C8">
        <f>Sheet2!C8</f>
        <v>2.27272727272727E-2</v>
      </c>
      <c r="D8">
        <f>Sheet2!D8</f>
        <v>0.02</v>
      </c>
      <c r="E8">
        <f>Sheet2!E8</f>
        <v>2.7777170216344401E-2</v>
      </c>
    </row>
    <row r="9" spans="2:5" x14ac:dyDescent="0.3">
      <c r="B9">
        <f>Sheet2!B9</f>
        <v>2.1380502800466002E-2</v>
      </c>
      <c r="C9">
        <f>Sheet2!C9</f>
        <v>2.27272727272727E-2</v>
      </c>
      <c r="D9">
        <f>Sheet2!D9</f>
        <v>0.02</v>
      </c>
      <c r="E9">
        <f>Sheet2!E9</f>
        <v>6.7758987606595204E-3</v>
      </c>
    </row>
    <row r="10" spans="2:5" x14ac:dyDescent="0.3">
      <c r="B10">
        <f>Sheet2!B10</f>
        <v>3.1692299321289703E-2</v>
      </c>
      <c r="C10">
        <f>Sheet2!C10</f>
        <v>2.27272727272727E-2</v>
      </c>
      <c r="D10">
        <f>Sheet2!D10</f>
        <v>0.02</v>
      </c>
      <c r="E10">
        <f>Sheet2!E10</f>
        <v>3.2740214366746997E-2</v>
      </c>
    </row>
    <row r="11" spans="2:5" x14ac:dyDescent="0.3">
      <c r="B11">
        <f>Sheet2!B11</f>
        <v>1.9693279911706801E-2</v>
      </c>
      <c r="C11">
        <f>Sheet2!C11</f>
        <v>2.27272727272727E-2</v>
      </c>
      <c r="D11">
        <f>Sheet2!D11</f>
        <v>0.02</v>
      </c>
      <c r="E11">
        <f>Sheet2!E11</f>
        <v>2.49287044670055E-2</v>
      </c>
    </row>
    <row r="12" spans="2:5" x14ac:dyDescent="0.3">
      <c r="B12">
        <f>Sheet2!B12</f>
        <v>1.2825742152944899E-2</v>
      </c>
      <c r="C12">
        <f>Sheet2!C12</f>
        <v>2.27272727272727E-2</v>
      </c>
      <c r="D12">
        <f>Sheet2!D12</f>
        <v>0.02</v>
      </c>
      <c r="E12">
        <f>Sheet2!E12</f>
        <v>1.1141303115632099E-2</v>
      </c>
    </row>
    <row r="13" spans="2:5" x14ac:dyDescent="0.3">
      <c r="B13">
        <f>Sheet2!B13</f>
        <v>2.24664406583585E-2</v>
      </c>
      <c r="C13">
        <f>Sheet2!C13</f>
        <v>2.27272727272727E-2</v>
      </c>
      <c r="D13">
        <f>Sheet2!D13</f>
        <v>0.02</v>
      </c>
      <c r="E13">
        <f>Sheet2!E13</f>
        <v>3.5264630575363699E-2</v>
      </c>
    </row>
    <row r="14" spans="2:5" x14ac:dyDescent="0.3">
      <c r="B14">
        <f>Sheet2!B14</f>
        <v>2.2807604045482401E-2</v>
      </c>
      <c r="C14">
        <f>Sheet2!C14</f>
        <v>2.27272727272727E-2</v>
      </c>
      <c r="D14">
        <f>Sheet2!D14</f>
        <v>0.02</v>
      </c>
      <c r="E14">
        <f>Sheet2!E14</f>
        <v>1.7175318324351801E-2</v>
      </c>
    </row>
    <row r="15" spans="2:5" x14ac:dyDescent="0.3">
      <c r="B15">
        <f>Sheet2!B15</f>
        <v>2.38175804811371E-2</v>
      </c>
      <c r="C15">
        <f>Sheet2!C15</f>
        <v>2.27272727272727E-2</v>
      </c>
      <c r="D15">
        <f>Sheet2!D15</f>
        <v>0.02</v>
      </c>
      <c r="E15">
        <f>Sheet2!E15</f>
        <v>1.6413024692957402E-2</v>
      </c>
    </row>
    <row r="16" spans="2:5" x14ac:dyDescent="0.3">
      <c r="B16">
        <f>Sheet2!B16</f>
        <v>2.3963698067968501E-2</v>
      </c>
      <c r="C16">
        <f>Sheet2!C16</f>
        <v>2.27272727272727E-2</v>
      </c>
      <c r="D16">
        <f>Sheet2!D16</f>
        <v>0.02</v>
      </c>
      <c r="E16">
        <f>Sheet2!E16</f>
        <v>2.7612365562160401E-2</v>
      </c>
    </row>
    <row r="17" spans="2:5" x14ac:dyDescent="0.3">
      <c r="B17">
        <f>Sheet2!B17</f>
        <v>2.2355377203136802E-2</v>
      </c>
      <c r="C17">
        <f>Sheet2!C17</f>
        <v>2.27272727272727E-2</v>
      </c>
      <c r="D17">
        <f>Sheet2!D17</f>
        <v>0.02</v>
      </c>
      <c r="E17">
        <f>Sheet2!E17</f>
        <v>2.3152590255058801E-2</v>
      </c>
    </row>
    <row r="18" spans="2:5" x14ac:dyDescent="0.3">
      <c r="B18">
        <f>Sheet2!B18</f>
        <v>9.9182349779960103E-3</v>
      </c>
      <c r="C18">
        <f>Sheet2!C18</f>
        <v>2.27272727272727E-2</v>
      </c>
      <c r="D18">
        <f>Sheet2!D18</f>
        <v>0.02</v>
      </c>
      <c r="E18">
        <f>Sheet2!E18</f>
        <v>1.06967483120393E-2</v>
      </c>
    </row>
    <row r="19" spans="2:5" x14ac:dyDescent="0.3">
      <c r="B19">
        <f>Sheet2!B19</f>
        <v>3.4728020574019303E-2</v>
      </c>
      <c r="C19">
        <f>Sheet2!C19</f>
        <v>2.27272727272727E-2</v>
      </c>
      <c r="D19">
        <f>Sheet2!D19</f>
        <v>0.02</v>
      </c>
      <c r="E19">
        <f>Sheet2!E19</f>
        <v>1.9939472952808599E-2</v>
      </c>
    </row>
    <row r="20" spans="2:5" x14ac:dyDescent="0.3">
      <c r="B20">
        <f>Sheet2!B20</f>
        <v>2.4208348140073301E-2</v>
      </c>
      <c r="C20">
        <f>Sheet2!C20</f>
        <v>2.27272727272727E-2</v>
      </c>
      <c r="D20">
        <f>Sheet2!D20</f>
        <v>0.02</v>
      </c>
      <c r="E20">
        <f>Sheet2!E20</f>
        <v>2.3402641301989401E-2</v>
      </c>
    </row>
    <row r="21" spans="2:5" x14ac:dyDescent="0.3">
      <c r="B21">
        <f>Sheet2!B21</f>
        <v>1.3591168681481801E-2</v>
      </c>
      <c r="C21">
        <f>Sheet2!C21</f>
        <v>2.27272727272727E-2</v>
      </c>
      <c r="D21">
        <f>Sheet2!D21</f>
        <v>0.02</v>
      </c>
      <c r="E21">
        <f>Sheet2!E21</f>
        <v>2.9787145374439199E-2</v>
      </c>
    </row>
    <row r="22" spans="2:5" x14ac:dyDescent="0.3">
      <c r="B22">
        <f>Sheet2!B22</f>
        <v>2.3832563593515901E-2</v>
      </c>
      <c r="C22">
        <f>Sheet2!C22</f>
        <v>2.27272727272727E-2</v>
      </c>
      <c r="D22">
        <f>Sheet2!D22</f>
        <v>0.02</v>
      </c>
      <c r="E22">
        <f>Sheet2!E22</f>
        <v>1.60459935822958E-2</v>
      </c>
    </row>
    <row r="23" spans="2:5" x14ac:dyDescent="0.3">
      <c r="B23">
        <f>Sheet2!B23</f>
        <v>2.36037263928204E-2</v>
      </c>
      <c r="C23">
        <f>Sheet2!C23</f>
        <v>2.27272727272727E-2</v>
      </c>
      <c r="D23">
        <f>Sheet2!D23</f>
        <v>0.02</v>
      </c>
      <c r="E23">
        <f>Sheet2!E23</f>
        <v>0</v>
      </c>
    </row>
    <row r="24" spans="2:5" x14ac:dyDescent="0.3">
      <c r="B24">
        <f>Sheet2!B24</f>
        <v>3.8472190531680502E-2</v>
      </c>
      <c r="C24">
        <f>Sheet2!C24</f>
        <v>2.27272727272727E-2</v>
      </c>
      <c r="D24">
        <f>Sheet2!D24</f>
        <v>0.02</v>
      </c>
      <c r="E24">
        <f>Sheet2!E24</f>
        <v>2.8768125716154801E-2</v>
      </c>
    </row>
    <row r="25" spans="2:5" x14ac:dyDescent="0.3">
      <c r="B25">
        <f>Sheet2!B25</f>
        <v>2.3045839445683301E-2</v>
      </c>
      <c r="C25">
        <f>Sheet2!C25</f>
        <v>2.27272727272727E-2</v>
      </c>
      <c r="D25">
        <f>Sheet2!D25</f>
        <v>0.02</v>
      </c>
      <c r="E25">
        <f>Sheet2!E25</f>
        <v>1.09893893178358E-2</v>
      </c>
    </row>
    <row r="26" spans="2:5" x14ac:dyDescent="0.3">
      <c r="B26">
        <f>Sheet2!B26</f>
        <v>2.8505561284183901E-2</v>
      </c>
      <c r="C26">
        <f>Sheet2!C26</f>
        <v>2.27272727272727E-2</v>
      </c>
      <c r="D26">
        <f>Sheet2!D26</f>
        <v>0.02</v>
      </c>
      <c r="E26">
        <f>Sheet2!E26</f>
        <v>2.5559576568031501E-2</v>
      </c>
    </row>
    <row r="27" spans="2:5" x14ac:dyDescent="0.3">
      <c r="B27">
        <f>Sheet2!B27</f>
        <v>1.58811658340305E-2</v>
      </c>
      <c r="C27">
        <f>Sheet2!C27</f>
        <v>2.27272727272727E-2</v>
      </c>
      <c r="D27">
        <f>Sheet2!D27</f>
        <v>0.02</v>
      </c>
      <c r="E27">
        <f>Sheet2!E27</f>
        <v>1.41609626726125E-2</v>
      </c>
    </row>
    <row r="28" spans="2:5" x14ac:dyDescent="0.3">
      <c r="B28">
        <f>Sheet2!B28</f>
        <v>2.6461047738752099E-2</v>
      </c>
      <c r="C28">
        <f>Sheet2!C28</f>
        <v>2.27272727272727E-2</v>
      </c>
      <c r="D28">
        <f>Sheet2!D28</f>
        <v>0.02</v>
      </c>
      <c r="E28">
        <f>Sheet2!E28</f>
        <v>2.6269478694587799E-2</v>
      </c>
    </row>
    <row r="29" spans="2:5" x14ac:dyDescent="0.3">
      <c r="B29">
        <f>Sheet2!B29</f>
        <v>1.3951100859026001E-2</v>
      </c>
      <c r="C29">
        <f>Sheet2!C29</f>
        <v>2.27272727272727E-2</v>
      </c>
      <c r="D29">
        <f>Sheet2!D29</f>
        <v>0.02</v>
      </c>
      <c r="E29">
        <f>Sheet2!E29</f>
        <v>1.2308972524477799E-2</v>
      </c>
    </row>
    <row r="30" spans="2:5" x14ac:dyDescent="0.3">
      <c r="B30">
        <f>Sheet2!B30</f>
        <v>1.02222176762685E-2</v>
      </c>
      <c r="C30">
        <f>Sheet2!C30</f>
        <v>2.27272727272727E-2</v>
      </c>
      <c r="D30">
        <f>Sheet2!D30</f>
        <v>0.02</v>
      </c>
      <c r="E30">
        <f>Sheet2!E30</f>
        <v>3.4982780529240101E-2</v>
      </c>
    </row>
    <row r="31" spans="2:5" x14ac:dyDescent="0.3">
      <c r="B31">
        <f>Sheet2!B31</f>
        <v>2.4736907217812999E-2</v>
      </c>
      <c r="C31">
        <f>Sheet2!C31</f>
        <v>2.27272727272727E-2</v>
      </c>
      <c r="D31">
        <f>Sheet2!D31</f>
        <v>0.02</v>
      </c>
      <c r="E31">
        <f>Sheet2!E31</f>
        <v>2.3463773907544699E-2</v>
      </c>
    </row>
    <row r="32" spans="2:5" x14ac:dyDescent="0.3">
      <c r="B32">
        <f>Sheet2!B32</f>
        <v>4.6560003179608303E-2</v>
      </c>
      <c r="C32">
        <f>Sheet2!C32</f>
        <v>2.27272727272727E-2</v>
      </c>
      <c r="D32">
        <f>Sheet2!D32</f>
        <v>0.14000000000000001</v>
      </c>
      <c r="E32">
        <f>Sheet2!E32</f>
        <v>3.2153621625195798E-2</v>
      </c>
    </row>
    <row r="33" spans="2:5" x14ac:dyDescent="0.3">
      <c r="B33">
        <f>Sheet2!B33</f>
        <v>1.77505492872112E-2</v>
      </c>
      <c r="C33">
        <f>Sheet2!C33</f>
        <v>2.27272727272727E-2</v>
      </c>
      <c r="D33">
        <f>Sheet2!D33</f>
        <v>0.02</v>
      </c>
      <c r="E33">
        <f>Sheet2!E33</f>
        <v>3.9466873229124302E-2</v>
      </c>
    </row>
    <row r="34" spans="2:5" x14ac:dyDescent="0.3">
      <c r="B34">
        <f>Sheet2!B34</f>
        <v>1.4774709981311101E-2</v>
      </c>
      <c r="C34">
        <f>Sheet2!C34</f>
        <v>2.27272727272727E-2</v>
      </c>
      <c r="D34">
        <f>Sheet2!D34</f>
        <v>0.02</v>
      </c>
      <c r="E34">
        <f>Sheet2!E34</f>
        <v>1.50205053053779E-2</v>
      </c>
    </row>
    <row r="35" spans="2:5" x14ac:dyDescent="0.3">
      <c r="B35">
        <f>Sheet2!B35</f>
        <v>2.8424053017141199E-2</v>
      </c>
      <c r="C35">
        <f>Sheet2!C35</f>
        <v>2.27272727272727E-2</v>
      </c>
      <c r="D35">
        <f>Sheet2!D35</f>
        <v>0.02</v>
      </c>
      <c r="E35">
        <f>Sheet2!E35</f>
        <v>3.3818092562856901E-2</v>
      </c>
    </row>
    <row r="36" spans="2:5" x14ac:dyDescent="0.3">
      <c r="B36">
        <f>Sheet2!B36</f>
        <v>2.26475353379261E-2</v>
      </c>
      <c r="C36">
        <f>Sheet2!C36</f>
        <v>2.27272727272727E-2</v>
      </c>
      <c r="D36">
        <f>Sheet2!D36</f>
        <v>0.02</v>
      </c>
      <c r="E36">
        <f>Sheet2!E36</f>
        <v>3.3157176508301897E-2</v>
      </c>
    </row>
    <row r="37" spans="2:5" x14ac:dyDescent="0.3">
      <c r="B37">
        <f>Sheet2!B37</f>
        <v>1.9861394943583102E-2</v>
      </c>
      <c r="C37">
        <f>Sheet2!C37</f>
        <v>2.27272727272727E-2</v>
      </c>
      <c r="D37">
        <f>Sheet2!D37</f>
        <v>0.02</v>
      </c>
      <c r="E37">
        <f>Sheet2!E37</f>
        <v>2.8184894191734301E-2</v>
      </c>
    </row>
    <row r="38" spans="2:5" x14ac:dyDescent="0.3">
      <c r="B38">
        <f>Sheet2!B38</f>
        <v>2.26373431152442E-2</v>
      </c>
      <c r="C38">
        <f>Sheet2!C38</f>
        <v>2.27272727272727E-2</v>
      </c>
      <c r="D38">
        <f>Sheet2!D38</f>
        <v>0.02</v>
      </c>
      <c r="E38">
        <f>Sheet2!E38</f>
        <v>3.4608070056245301E-3</v>
      </c>
    </row>
    <row r="39" spans="2:5" x14ac:dyDescent="0.3">
      <c r="B39">
        <f>Sheet2!B39</f>
        <v>2.5014238704115399E-2</v>
      </c>
      <c r="C39">
        <f>Sheet2!C39</f>
        <v>2.27272727272727E-2</v>
      </c>
      <c r="D39">
        <f>Sheet2!D39</f>
        <v>0.02</v>
      </c>
      <c r="E39">
        <f>Sheet2!E39</f>
        <v>3.6678643107631602E-2</v>
      </c>
    </row>
    <row r="40" spans="2:5" x14ac:dyDescent="0.3">
      <c r="B40">
        <f>Sheet2!B40</f>
        <v>2.56743146498279E-2</v>
      </c>
      <c r="C40">
        <f>Sheet2!C40</f>
        <v>2.27272727272727E-2</v>
      </c>
      <c r="D40">
        <f>Sheet2!D40</f>
        <v>0.02</v>
      </c>
      <c r="E40">
        <f>Sheet2!E40</f>
        <v>1.69941886608907E-2</v>
      </c>
    </row>
    <row r="41" spans="2:5" x14ac:dyDescent="0.3">
      <c r="B41">
        <f>Sheet2!B41</f>
        <v>2.1813731062110701E-2</v>
      </c>
      <c r="C41">
        <f>Sheet2!C41</f>
        <v>2.27272727272727E-2</v>
      </c>
      <c r="D41">
        <f>Sheet2!D41</f>
        <v>0.02</v>
      </c>
      <c r="E41">
        <f>Sheet2!E41</f>
        <v>2.53327451105228E-2</v>
      </c>
    </row>
    <row r="42" spans="2:5" x14ac:dyDescent="0.3">
      <c r="B42">
        <f>Sheet2!B42</f>
        <v>3.3414959366198101E-2</v>
      </c>
      <c r="C42">
        <f>Sheet2!C42</f>
        <v>2.27272727272727E-2</v>
      </c>
      <c r="D42">
        <f>Sheet2!D42</f>
        <v>0.02</v>
      </c>
      <c r="E42">
        <f>Sheet2!E42</f>
        <v>1.0669706487989299E-2</v>
      </c>
    </row>
    <row r="43" spans="2:5" x14ac:dyDescent="0.3">
      <c r="B43">
        <f>Sheet2!B43</f>
        <v>2.69405583034441E-2</v>
      </c>
      <c r="C43">
        <f>Sheet2!C43</f>
        <v>2.27272727272727E-2</v>
      </c>
      <c r="D43">
        <f>Sheet2!D43</f>
        <v>0.02</v>
      </c>
      <c r="E43">
        <f>Sheet2!E43</f>
        <v>3.01792708140186E-2</v>
      </c>
    </row>
    <row r="44" spans="2:5" x14ac:dyDescent="0.3">
      <c r="B44">
        <f>Sheet2!B44</f>
        <v>1.1736119544438799E-2</v>
      </c>
      <c r="C44">
        <f>Sheet2!C44</f>
        <v>2.27272727272727E-2</v>
      </c>
      <c r="D44">
        <f>Sheet2!D44</f>
        <v>0.02</v>
      </c>
      <c r="E44">
        <f>Sheet2!E44</f>
        <v>3.4726017202156102E-2</v>
      </c>
    </row>
    <row r="45" spans="2:5" x14ac:dyDescent="0.3">
      <c r="B45">
        <f>Sheet2!B45</f>
        <v>2.6309290885010501E-2</v>
      </c>
      <c r="C45">
        <f>Sheet2!C45</f>
        <v>2.27272727272727E-2</v>
      </c>
      <c r="D45">
        <f>Sheet2!D45</f>
        <v>0.02</v>
      </c>
      <c r="E45">
        <f>Sheet2!E45</f>
        <v>3.09790222031705E-2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DEDB5-F444-4639-8CF8-8CB2E019744C}">
  <dimension ref="A1:E45"/>
  <sheetViews>
    <sheetView workbookViewId="0">
      <selection activeCell="H7" sqref="H7"/>
    </sheetView>
  </sheetViews>
  <sheetFormatPr defaultRowHeight="14.4" x14ac:dyDescent="0.3"/>
  <sheetData>
    <row r="1" spans="1:5" x14ac:dyDescent="0.3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5" x14ac:dyDescent="0.3">
      <c r="A2" t="s">
        <v>87</v>
      </c>
      <c r="B2" s="6">
        <v>1.8097363996180001E-2</v>
      </c>
      <c r="C2" s="6">
        <v>2.27272727272727E-2</v>
      </c>
      <c r="D2" s="6">
        <v>0.02</v>
      </c>
      <c r="E2" s="6">
        <v>3.5636537523040198E-3</v>
      </c>
    </row>
    <row r="3" spans="1:5" x14ac:dyDescent="0.3">
      <c r="A3" t="s">
        <v>23</v>
      </c>
      <c r="B3" s="6">
        <v>2.3540222025626799E-2</v>
      </c>
      <c r="C3" s="6">
        <v>2.27272727272727E-2</v>
      </c>
      <c r="D3" s="6">
        <v>0.02</v>
      </c>
      <c r="E3" s="6">
        <v>3.6577614998355198E-2</v>
      </c>
    </row>
    <row r="4" spans="1:5" x14ac:dyDescent="0.3">
      <c r="A4" t="s">
        <v>27</v>
      </c>
      <c r="B4" s="6">
        <v>3.0018470167653102E-2</v>
      </c>
      <c r="C4" s="6">
        <v>2.27272727272727E-2</v>
      </c>
      <c r="D4" s="6">
        <v>0.02</v>
      </c>
      <c r="E4" s="6">
        <v>2.97319862324038E-2</v>
      </c>
    </row>
    <row r="5" spans="1:5" x14ac:dyDescent="0.3">
      <c r="A5" t="s">
        <v>60</v>
      </c>
      <c r="B5" s="6">
        <v>1.55418709602471E-2</v>
      </c>
      <c r="C5" s="6">
        <v>2.27272727272727E-2</v>
      </c>
      <c r="D5" s="6">
        <v>0.02</v>
      </c>
      <c r="E5" s="6">
        <v>1.5947015523281899E-2</v>
      </c>
    </row>
    <row r="6" spans="1:5" x14ac:dyDescent="0.3">
      <c r="A6" t="s">
        <v>83</v>
      </c>
      <c r="B6" s="6">
        <v>1.66182063119075E-2</v>
      </c>
      <c r="C6" s="6">
        <v>2.27272727272727E-2</v>
      </c>
      <c r="D6" s="6">
        <v>0.02</v>
      </c>
      <c r="E6" s="6">
        <v>1.42478765660413E-2</v>
      </c>
    </row>
    <row r="7" spans="1:5" x14ac:dyDescent="0.3">
      <c r="A7" t="s">
        <v>52</v>
      </c>
      <c r="B7" s="6">
        <v>2.1834163697429399E-2</v>
      </c>
      <c r="C7" s="6">
        <v>2.27272727272727E-2</v>
      </c>
      <c r="D7" s="6">
        <v>0.02</v>
      </c>
      <c r="E7" s="6">
        <v>2.9754007122678901E-2</v>
      </c>
    </row>
    <row r="8" spans="1:5" x14ac:dyDescent="0.3">
      <c r="A8" t="s">
        <v>49</v>
      </c>
      <c r="B8" s="6">
        <v>1.86302838739483E-2</v>
      </c>
      <c r="C8" s="6">
        <v>2.27272727272727E-2</v>
      </c>
      <c r="D8" s="6">
        <v>0.02</v>
      </c>
      <c r="E8" s="6">
        <v>2.7777170216344401E-2</v>
      </c>
    </row>
    <row r="9" spans="1:5" x14ac:dyDescent="0.3">
      <c r="A9" t="s">
        <v>72</v>
      </c>
      <c r="B9" s="6">
        <v>2.1380502800466002E-2</v>
      </c>
      <c r="C9" s="6">
        <v>2.27272727272727E-2</v>
      </c>
      <c r="D9" s="6">
        <v>0.02</v>
      </c>
      <c r="E9" s="6">
        <v>6.7758987606595204E-3</v>
      </c>
    </row>
    <row r="10" spans="1:5" x14ac:dyDescent="0.3">
      <c r="A10" t="s">
        <v>33</v>
      </c>
      <c r="B10" s="6">
        <v>3.1692299321289703E-2</v>
      </c>
      <c r="C10" s="6">
        <v>2.27272727272727E-2</v>
      </c>
      <c r="D10" s="6">
        <v>0.02</v>
      </c>
      <c r="E10" s="6">
        <v>3.2740214366746997E-2</v>
      </c>
    </row>
    <row r="11" spans="1:5" x14ac:dyDescent="0.3">
      <c r="A11" t="s">
        <v>39</v>
      </c>
      <c r="B11" s="6">
        <v>1.9693279911706801E-2</v>
      </c>
      <c r="C11" s="6">
        <v>2.27272727272727E-2</v>
      </c>
      <c r="D11" s="6">
        <v>0.02</v>
      </c>
      <c r="E11" s="6">
        <v>2.49287044670055E-2</v>
      </c>
    </row>
    <row r="12" spans="1:5" x14ac:dyDescent="0.3">
      <c r="A12" t="s">
        <v>81</v>
      </c>
      <c r="B12" s="6">
        <v>1.2825742152944899E-2</v>
      </c>
      <c r="C12" s="6">
        <v>2.27272727272727E-2</v>
      </c>
      <c r="D12" s="6">
        <v>0.02</v>
      </c>
      <c r="E12" s="6">
        <v>1.1141303115632099E-2</v>
      </c>
    </row>
    <row r="13" spans="1:5" x14ac:dyDescent="0.3">
      <c r="A13" t="s">
        <v>13</v>
      </c>
      <c r="B13" s="6">
        <v>2.24664406583585E-2</v>
      </c>
      <c r="C13" s="6">
        <v>2.27272727272727E-2</v>
      </c>
      <c r="D13" s="6">
        <v>0.02</v>
      </c>
      <c r="E13" s="6">
        <v>3.5264630575363699E-2</v>
      </c>
    </row>
    <row r="14" spans="1:5" x14ac:dyDescent="0.3">
      <c r="A14" t="s">
        <v>62</v>
      </c>
      <c r="B14" s="6">
        <v>2.2807604045482401E-2</v>
      </c>
      <c r="C14" s="6">
        <v>2.27272727272727E-2</v>
      </c>
      <c r="D14" s="6">
        <v>0.02</v>
      </c>
      <c r="E14" s="6">
        <v>1.7175318324351801E-2</v>
      </c>
    </row>
    <row r="15" spans="1:5" x14ac:dyDescent="0.3">
      <c r="A15" t="s">
        <v>64</v>
      </c>
      <c r="B15" s="6">
        <v>2.38175804811371E-2</v>
      </c>
      <c r="C15" s="6">
        <v>2.27272727272727E-2</v>
      </c>
      <c r="D15" s="6">
        <v>0.02</v>
      </c>
      <c r="E15" s="6">
        <v>1.6413024692957402E-2</v>
      </c>
    </row>
    <row r="16" spans="1:5" x14ac:dyDescent="0.3">
      <c r="A16" t="s">
        <v>29</v>
      </c>
      <c r="B16" s="6">
        <v>2.3963698067968501E-2</v>
      </c>
      <c r="C16" s="6">
        <v>2.27272727272727E-2</v>
      </c>
      <c r="D16" s="6">
        <v>0.02</v>
      </c>
      <c r="E16" s="6">
        <v>2.7612365562160401E-2</v>
      </c>
    </row>
    <row r="17" spans="1:5" x14ac:dyDescent="0.3">
      <c r="A17" t="s">
        <v>58</v>
      </c>
      <c r="B17" s="6">
        <v>2.2355377203136802E-2</v>
      </c>
      <c r="C17" s="6">
        <v>2.27272727272727E-2</v>
      </c>
      <c r="D17" s="6">
        <v>0.02</v>
      </c>
      <c r="E17" s="6">
        <v>2.3152590255058801E-2</v>
      </c>
    </row>
    <row r="18" spans="1:5" x14ac:dyDescent="0.3">
      <c r="A18" t="s">
        <v>91</v>
      </c>
      <c r="B18" s="6">
        <v>9.9182349779960103E-3</v>
      </c>
      <c r="C18" s="6">
        <v>2.27272727272727E-2</v>
      </c>
      <c r="D18" s="6">
        <v>0.02</v>
      </c>
      <c r="E18" s="6">
        <v>1.06967483120393E-2</v>
      </c>
    </row>
    <row r="19" spans="1:5" x14ac:dyDescent="0.3">
      <c r="A19" t="s">
        <v>56</v>
      </c>
      <c r="B19" s="6">
        <v>3.4728020574019303E-2</v>
      </c>
      <c r="C19" s="6">
        <v>2.27272727272727E-2</v>
      </c>
      <c r="D19" s="6">
        <v>0.02</v>
      </c>
      <c r="E19" s="6">
        <v>1.9939472952808599E-2</v>
      </c>
    </row>
    <row r="20" spans="1:5" x14ac:dyDescent="0.3">
      <c r="A20" t="s">
        <v>45</v>
      </c>
      <c r="B20" s="6">
        <v>2.4208348140073301E-2</v>
      </c>
      <c r="C20" s="6">
        <v>2.27272727272727E-2</v>
      </c>
      <c r="D20" s="6">
        <v>0.02</v>
      </c>
      <c r="E20" s="6">
        <v>2.3402641301989401E-2</v>
      </c>
    </row>
    <row r="21" spans="1:5" x14ac:dyDescent="0.3">
      <c r="A21" t="s">
        <v>25</v>
      </c>
      <c r="B21" s="6">
        <v>1.3591168681481801E-2</v>
      </c>
      <c r="C21" s="6">
        <v>2.27272727272727E-2</v>
      </c>
      <c r="D21" s="6">
        <v>0.02</v>
      </c>
      <c r="E21" s="6">
        <v>2.9787145374439199E-2</v>
      </c>
    </row>
    <row r="22" spans="1:5" x14ac:dyDescent="0.3">
      <c r="A22" t="s">
        <v>68</v>
      </c>
      <c r="B22" s="6">
        <v>2.3832563593515901E-2</v>
      </c>
      <c r="C22" s="6">
        <v>2.27272727272727E-2</v>
      </c>
      <c r="D22" s="6">
        <v>0.02</v>
      </c>
      <c r="E22" s="6">
        <v>1.60459935822958E-2</v>
      </c>
    </row>
    <row r="23" spans="1:5" x14ac:dyDescent="0.3">
      <c r="A23" t="s">
        <v>85</v>
      </c>
      <c r="B23" s="6">
        <v>2.36037263928204E-2</v>
      </c>
      <c r="C23" s="6">
        <v>2.27272727272727E-2</v>
      </c>
      <c r="D23" s="6">
        <v>0.02</v>
      </c>
      <c r="E23" s="6">
        <v>0</v>
      </c>
    </row>
    <row r="24" spans="1:5" x14ac:dyDescent="0.3">
      <c r="A24" t="s">
        <v>11</v>
      </c>
      <c r="B24" s="6">
        <v>3.8472190531680502E-2</v>
      </c>
      <c r="C24" s="6">
        <v>2.27272727272727E-2</v>
      </c>
      <c r="D24" s="6">
        <v>0.02</v>
      </c>
      <c r="E24" s="6">
        <v>2.8768125716154801E-2</v>
      </c>
    </row>
    <row r="25" spans="1:5" x14ac:dyDescent="0.3">
      <c r="A25" t="s">
        <v>70</v>
      </c>
      <c r="B25" s="6">
        <v>2.3045839445683301E-2</v>
      </c>
      <c r="C25" s="6">
        <v>2.27272727272727E-2</v>
      </c>
      <c r="D25" s="6">
        <v>0.02</v>
      </c>
      <c r="E25" s="6">
        <v>1.09893893178358E-2</v>
      </c>
    </row>
    <row r="26" spans="1:5" x14ac:dyDescent="0.3">
      <c r="A26" t="s">
        <v>41</v>
      </c>
      <c r="B26" s="6">
        <v>2.8505561284183901E-2</v>
      </c>
      <c r="C26" s="6">
        <v>2.27272727272727E-2</v>
      </c>
      <c r="D26" s="6">
        <v>0.02</v>
      </c>
      <c r="E26" s="6">
        <v>2.5559576568031501E-2</v>
      </c>
    </row>
    <row r="27" spans="1:5" x14ac:dyDescent="0.3">
      <c r="A27" t="s">
        <v>79</v>
      </c>
      <c r="B27" s="6">
        <v>1.58811658340305E-2</v>
      </c>
      <c r="C27" s="6">
        <v>2.27272727272727E-2</v>
      </c>
      <c r="D27" s="6">
        <v>0.02</v>
      </c>
      <c r="E27" s="6">
        <v>1.41609626726125E-2</v>
      </c>
    </row>
    <row r="28" spans="1:5" x14ac:dyDescent="0.3">
      <c r="A28" t="s">
        <v>54</v>
      </c>
      <c r="B28" s="6">
        <v>2.6461047738752099E-2</v>
      </c>
      <c r="C28" s="6">
        <v>2.27272727272727E-2</v>
      </c>
      <c r="D28" s="6">
        <v>0.02</v>
      </c>
      <c r="E28" s="6">
        <v>2.6269478694587799E-2</v>
      </c>
    </row>
    <row r="29" spans="1:5" x14ac:dyDescent="0.3">
      <c r="A29" t="s">
        <v>75</v>
      </c>
      <c r="B29" s="6">
        <v>1.3951100859026001E-2</v>
      </c>
      <c r="C29" s="6">
        <v>2.27272727272727E-2</v>
      </c>
      <c r="D29" s="6">
        <v>0.02</v>
      </c>
      <c r="E29" s="6">
        <v>1.2308972524477799E-2</v>
      </c>
    </row>
    <row r="30" spans="1:5" x14ac:dyDescent="0.3">
      <c r="A30" t="s">
        <v>9</v>
      </c>
      <c r="B30" s="6">
        <v>1.02222176762685E-2</v>
      </c>
      <c r="C30" s="6">
        <v>2.27272727272727E-2</v>
      </c>
      <c r="D30" s="6">
        <v>0.02</v>
      </c>
      <c r="E30" s="6">
        <v>3.4982780529240101E-2</v>
      </c>
    </row>
    <row r="31" spans="1:5" x14ac:dyDescent="0.3">
      <c r="A31" t="s">
        <v>43</v>
      </c>
      <c r="B31" s="6">
        <v>2.4736907217812999E-2</v>
      </c>
      <c r="C31" s="6">
        <v>2.27272727272727E-2</v>
      </c>
      <c r="D31" s="6">
        <v>0.02</v>
      </c>
      <c r="E31" s="6">
        <v>2.3463773907544699E-2</v>
      </c>
    </row>
    <row r="32" spans="1:5" x14ac:dyDescent="0.3">
      <c r="A32" t="s">
        <v>7</v>
      </c>
      <c r="B32" s="6">
        <v>4.6560003179608303E-2</v>
      </c>
      <c r="C32" s="6">
        <v>2.27272727272727E-2</v>
      </c>
      <c r="D32" s="6">
        <v>0.14000000000000001</v>
      </c>
      <c r="E32" s="6">
        <v>3.2153621625195798E-2</v>
      </c>
    </row>
    <row r="33" spans="1:5" x14ac:dyDescent="0.3">
      <c r="A33" t="s">
        <v>77</v>
      </c>
      <c r="B33" s="6">
        <v>1.77505492872112E-2</v>
      </c>
      <c r="C33" s="6">
        <v>2.27272727272727E-2</v>
      </c>
      <c r="D33" s="6">
        <v>0.02</v>
      </c>
      <c r="E33" s="6">
        <v>3.9466873229124302E-2</v>
      </c>
    </row>
    <row r="34" spans="1:5" x14ac:dyDescent="0.3">
      <c r="A34" t="s">
        <v>50</v>
      </c>
      <c r="B34" s="6">
        <v>1.4774709981311101E-2</v>
      </c>
      <c r="C34" s="6">
        <v>2.27272727272727E-2</v>
      </c>
      <c r="D34" s="6">
        <v>0.02</v>
      </c>
      <c r="E34" s="6">
        <v>1.50205053053779E-2</v>
      </c>
    </row>
    <row r="35" spans="1:5" x14ac:dyDescent="0.3">
      <c r="A35" t="s">
        <v>35</v>
      </c>
      <c r="B35" s="6">
        <v>2.8424053017141199E-2</v>
      </c>
      <c r="C35" s="6">
        <v>2.27272727272727E-2</v>
      </c>
      <c r="D35" s="6">
        <v>0.02</v>
      </c>
      <c r="E35" s="6">
        <v>3.3818092562856901E-2</v>
      </c>
    </row>
    <row r="36" spans="1:5" x14ac:dyDescent="0.3">
      <c r="A36" t="s">
        <v>15</v>
      </c>
      <c r="B36" s="6">
        <v>2.26475353379261E-2</v>
      </c>
      <c r="C36" s="6">
        <v>2.27272727272727E-2</v>
      </c>
      <c r="D36" s="6">
        <v>0.02</v>
      </c>
      <c r="E36" s="6">
        <v>3.3157176508301897E-2</v>
      </c>
    </row>
    <row r="37" spans="1:5" x14ac:dyDescent="0.3">
      <c r="A37" t="s">
        <v>17</v>
      </c>
      <c r="B37" s="6">
        <v>1.9861394943583102E-2</v>
      </c>
      <c r="C37" s="6">
        <v>2.27272727272727E-2</v>
      </c>
      <c r="D37" s="6">
        <v>0.02</v>
      </c>
      <c r="E37" s="6">
        <v>2.8184894191734301E-2</v>
      </c>
    </row>
    <row r="38" spans="1:5" x14ac:dyDescent="0.3">
      <c r="A38" t="s">
        <v>73</v>
      </c>
      <c r="B38" s="6">
        <v>2.26373431152442E-2</v>
      </c>
      <c r="C38" s="6">
        <v>2.27272727272727E-2</v>
      </c>
      <c r="D38" s="6">
        <v>0.02</v>
      </c>
      <c r="E38" s="6">
        <v>3.4608070056245301E-3</v>
      </c>
    </row>
    <row r="39" spans="1:5" x14ac:dyDescent="0.3">
      <c r="A39" t="s">
        <v>19</v>
      </c>
      <c r="B39" s="6">
        <v>2.5014238704115399E-2</v>
      </c>
      <c r="C39" s="6">
        <v>2.27272727272727E-2</v>
      </c>
      <c r="D39" s="6">
        <v>0.02</v>
      </c>
      <c r="E39" s="6">
        <v>3.6678643107631602E-2</v>
      </c>
    </row>
    <row r="40" spans="1:5" x14ac:dyDescent="0.3">
      <c r="A40" t="s">
        <v>66</v>
      </c>
      <c r="B40" s="6">
        <v>2.56743146498279E-2</v>
      </c>
      <c r="C40" s="6">
        <v>2.27272727272727E-2</v>
      </c>
      <c r="D40" s="6">
        <v>0.02</v>
      </c>
      <c r="E40" s="6">
        <v>1.69941886608907E-2</v>
      </c>
    </row>
    <row r="41" spans="1:5" x14ac:dyDescent="0.3">
      <c r="A41" t="s">
        <v>31</v>
      </c>
      <c r="B41" s="6">
        <v>2.1813731062110701E-2</v>
      </c>
      <c r="C41" s="6">
        <v>2.27272727272727E-2</v>
      </c>
      <c r="D41" s="6">
        <v>0.02</v>
      </c>
      <c r="E41" s="6">
        <v>2.53327451105228E-2</v>
      </c>
    </row>
    <row r="42" spans="1:5" x14ac:dyDescent="0.3">
      <c r="A42" t="s">
        <v>89</v>
      </c>
      <c r="B42" s="6">
        <v>3.3414959366198101E-2</v>
      </c>
      <c r="C42" s="6">
        <v>2.27272727272727E-2</v>
      </c>
      <c r="D42" s="6">
        <v>0.02</v>
      </c>
      <c r="E42" s="6">
        <v>1.0669706487989299E-2</v>
      </c>
    </row>
    <row r="43" spans="1:5" x14ac:dyDescent="0.3">
      <c r="A43" t="s">
        <v>37</v>
      </c>
      <c r="B43" s="6">
        <v>2.69405583034441E-2</v>
      </c>
      <c r="C43" s="6">
        <v>2.27272727272727E-2</v>
      </c>
      <c r="D43" s="6">
        <v>0.02</v>
      </c>
      <c r="E43" s="6">
        <v>3.01792708140186E-2</v>
      </c>
    </row>
    <row r="44" spans="1:5" x14ac:dyDescent="0.3">
      <c r="A44" t="s">
        <v>47</v>
      </c>
      <c r="B44" s="6">
        <v>1.1736119544438799E-2</v>
      </c>
      <c r="C44" s="6">
        <v>2.27272727272727E-2</v>
      </c>
      <c r="D44" s="6">
        <v>0.02</v>
      </c>
      <c r="E44" s="6">
        <v>3.4726017202156102E-2</v>
      </c>
    </row>
    <row r="45" spans="1:5" x14ac:dyDescent="0.3">
      <c r="A45" t="s">
        <v>21</v>
      </c>
      <c r="B45" s="6">
        <v>2.6309290885010501E-2</v>
      </c>
      <c r="C45" s="6">
        <v>2.27272727272727E-2</v>
      </c>
      <c r="D45" s="6">
        <v>0.02</v>
      </c>
      <c r="E45" s="6">
        <v>3.09790222031705E-2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E6F-A6DA-4E2B-80E7-1A7AE04BB1FB}">
  <dimension ref="A1:AW45"/>
  <sheetViews>
    <sheetView workbookViewId="0">
      <selection activeCell="E7" sqref="E7"/>
    </sheetView>
  </sheetViews>
  <sheetFormatPr defaultRowHeight="14.4" x14ac:dyDescent="0.3"/>
  <sheetData>
    <row r="1" spans="1:49" x14ac:dyDescent="0.3">
      <c r="A1" t="s">
        <v>0</v>
      </c>
      <c r="B1" t="s">
        <v>1</v>
      </c>
      <c r="C1" t="s">
        <v>101</v>
      </c>
      <c r="D1" t="s">
        <v>102</v>
      </c>
      <c r="E1" t="s">
        <v>103</v>
      </c>
      <c r="F1" t="s">
        <v>104</v>
      </c>
      <c r="G1" t="s">
        <v>95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  <c r="S1" t="s">
        <v>116</v>
      </c>
      <c r="T1" t="s">
        <v>117</v>
      </c>
      <c r="U1" t="s">
        <v>118</v>
      </c>
      <c r="V1" t="s">
        <v>119</v>
      </c>
      <c r="W1" t="s">
        <v>120</v>
      </c>
      <c r="X1" t="s">
        <v>121</v>
      </c>
      <c r="Y1" t="s">
        <v>122</v>
      </c>
      <c r="Z1" t="s">
        <v>123</v>
      </c>
      <c r="AA1" t="s">
        <v>124</v>
      </c>
      <c r="AB1" t="s">
        <v>125</v>
      </c>
      <c r="AC1" t="s">
        <v>126</v>
      </c>
      <c r="AD1" t="s">
        <v>127</v>
      </c>
      <c r="AE1" t="s">
        <v>128</v>
      </c>
      <c r="AF1" t="s">
        <v>129</v>
      </c>
      <c r="AG1" t="s">
        <v>130</v>
      </c>
      <c r="AH1" t="s">
        <v>131</v>
      </c>
      <c r="AI1" t="s">
        <v>132</v>
      </c>
      <c r="AJ1" t="s">
        <v>133</v>
      </c>
      <c r="AK1" t="s">
        <v>134</v>
      </c>
      <c r="AL1" t="s">
        <v>135</v>
      </c>
      <c r="AM1" t="s">
        <v>136</v>
      </c>
      <c r="AN1" t="s">
        <v>137</v>
      </c>
      <c r="AO1" t="s">
        <v>138</v>
      </c>
      <c r="AP1" t="s">
        <v>139</v>
      </c>
      <c r="AQ1" t="s">
        <v>140</v>
      </c>
      <c r="AR1" t="s">
        <v>141</v>
      </c>
      <c r="AS1" t="s">
        <v>142</v>
      </c>
      <c r="AT1" t="s">
        <v>143</v>
      </c>
      <c r="AU1" t="s">
        <v>144</v>
      </c>
      <c r="AV1" t="s">
        <v>145</v>
      </c>
      <c r="AW1" t="s">
        <v>146</v>
      </c>
    </row>
    <row r="2" spans="1:49" x14ac:dyDescent="0.3">
      <c r="A2" t="s">
        <v>7</v>
      </c>
      <c r="B2" t="s">
        <v>8</v>
      </c>
      <c r="C2" s="7">
        <v>38356</v>
      </c>
      <c r="D2" s="7">
        <v>45076</v>
      </c>
      <c r="E2">
        <v>0</v>
      </c>
      <c r="F2">
        <v>5.1861716453809299</v>
      </c>
      <c r="G2">
        <v>0.104119051672523</v>
      </c>
      <c r="H2">
        <v>-0.34517345080218897</v>
      </c>
      <c r="I2">
        <v>0.30164270001226601</v>
      </c>
      <c r="J2">
        <v>-5.3964377281964897E-2</v>
      </c>
      <c r="K2">
        <v>4.78846740499934E-2</v>
      </c>
      <c r="L2">
        <v>-1.0507324439633699E-2</v>
      </c>
      <c r="M2">
        <v>3.7517335988144399E-2</v>
      </c>
      <c r="N2">
        <v>-4.9592991250776798E-2</v>
      </c>
      <c r="O2">
        <v>3.9627372431534101E-2</v>
      </c>
      <c r="P2">
        <v>0.102985270749776</v>
      </c>
      <c r="Q2">
        <v>8.2868255525199302E-2</v>
      </c>
      <c r="R2">
        <v>0.104119051672523</v>
      </c>
      <c r="S2">
        <v>0.65599182306954595</v>
      </c>
      <c r="T2">
        <v>1.0791551600917</v>
      </c>
      <c r="U2">
        <v>0.109953372139638</v>
      </c>
      <c r="V2">
        <v>0.167613937053575</v>
      </c>
      <c r="W2">
        <v>1.1554249562914299E-2</v>
      </c>
      <c r="X2">
        <v>6.2056449606110702</v>
      </c>
      <c r="Y2">
        <v>9.4632045917350402E-2</v>
      </c>
      <c r="Z2">
        <v>-6.8296119440087094E-2</v>
      </c>
      <c r="AA2">
        <v>0.79798163912560105</v>
      </c>
      <c r="AB2">
        <v>1.52156831195621</v>
      </c>
      <c r="AC2">
        <v>0.1067436454395</v>
      </c>
      <c r="AD2">
        <v>0.13376704451053101</v>
      </c>
      <c r="AE2">
        <v>-7.2643308395247602E-2</v>
      </c>
      <c r="AF2">
        <v>3.6515621530499497E-2</v>
      </c>
      <c r="AG2">
        <v>0.13010727323992399</v>
      </c>
      <c r="AH2">
        <v>-9.93171493340477E-2</v>
      </c>
      <c r="AI2">
        <v>0.71344582774713206</v>
      </c>
      <c r="AJ2">
        <v>1.86296491790756</v>
      </c>
      <c r="AK2">
        <v>9.7117376170086603E-2</v>
      </c>
      <c r="AL2">
        <v>0.136124387294767</v>
      </c>
      <c r="AM2">
        <v>-0.30299458770784998</v>
      </c>
      <c r="AN2">
        <v>2.94792727581305E-2</v>
      </c>
      <c r="AO2">
        <v>0.34759353128998999</v>
      </c>
      <c r="AP2">
        <v>-0.18072301353141601</v>
      </c>
      <c r="AQ2">
        <v>-2.7024273616951301E-2</v>
      </c>
      <c r="AR2">
        <v>33.721311475409799</v>
      </c>
      <c r="AS2">
        <v>3.2852363966997797E-2</v>
      </c>
      <c r="AT2">
        <v>-2.8433138820002202E-2</v>
      </c>
      <c r="AU2">
        <v>0.83333333333333304</v>
      </c>
      <c r="AV2">
        <v>0.80476190476190401</v>
      </c>
      <c r="AW2">
        <v>18.410958904109499</v>
      </c>
    </row>
    <row r="3" spans="1:49" x14ac:dyDescent="0.3">
      <c r="A3" t="s">
        <v>9</v>
      </c>
      <c r="B3" t="s">
        <v>10</v>
      </c>
      <c r="C3" s="7">
        <v>43444</v>
      </c>
      <c r="D3" s="7">
        <v>45076</v>
      </c>
      <c r="E3">
        <v>0</v>
      </c>
      <c r="F3">
        <v>5.8558513095876297</v>
      </c>
      <c r="G3">
        <v>0.53856143486210295</v>
      </c>
      <c r="H3">
        <v>-0.758230650074742</v>
      </c>
      <c r="I3">
        <v>0.71028708059877899</v>
      </c>
      <c r="J3">
        <v>-3.0100082913474501E-2</v>
      </c>
      <c r="K3">
        <v>-7.1464579954034102E-2</v>
      </c>
      <c r="L3">
        <v>-0.26729579497239803</v>
      </c>
      <c r="M3">
        <v>-0.28242955743564002</v>
      </c>
      <c r="N3">
        <v>-0.12711637414971499</v>
      </c>
      <c r="O3">
        <v>0.27581684078420698</v>
      </c>
      <c r="P3">
        <v>0.53856143486210295</v>
      </c>
      <c r="R3">
        <v>0.53856143486210295</v>
      </c>
      <c r="S3">
        <v>0.92176669043971604</v>
      </c>
      <c r="T3">
        <v>1.7259577953615599</v>
      </c>
      <c r="U3">
        <v>0.70349538286356605</v>
      </c>
      <c r="V3">
        <v>0.76320330313517104</v>
      </c>
      <c r="W3">
        <v>0.64545472164235895</v>
      </c>
      <c r="X3">
        <v>3.3639337219201599</v>
      </c>
      <c r="Y3">
        <v>0.278106510697055</v>
      </c>
      <c r="Z3">
        <v>-0.17966901672282801</v>
      </c>
      <c r="AA3">
        <v>0.89061076401329198</v>
      </c>
      <c r="AB3">
        <v>2.5493553516426601</v>
      </c>
      <c r="AC3">
        <v>0.84508006671775904</v>
      </c>
      <c r="AD3">
        <v>0.94887699639923295</v>
      </c>
      <c r="AE3">
        <v>1.7790448524413001</v>
      </c>
      <c r="AF3">
        <v>5.9210490370132201</v>
      </c>
      <c r="AG3">
        <v>1.26382099792071</v>
      </c>
      <c r="AH3">
        <v>-0.33329394172954402</v>
      </c>
      <c r="AI3">
        <v>0.56321441670727002</v>
      </c>
      <c r="AJ3">
        <v>6.9529364444911996</v>
      </c>
      <c r="AK3">
        <v>1.0955730332006499</v>
      </c>
      <c r="AL3">
        <v>1.94521482529818</v>
      </c>
      <c r="AM3">
        <v>1.6070134599685599</v>
      </c>
      <c r="AN3">
        <v>2.3643667822331902</v>
      </c>
      <c r="AO3">
        <v>4.3410022532262804</v>
      </c>
      <c r="AP3">
        <v>-0.29277896630143402</v>
      </c>
      <c r="AQ3">
        <v>-0.17057094984628299</v>
      </c>
      <c r="AR3">
        <v>49.838709677419303</v>
      </c>
      <c r="AS3">
        <v>0.22457734126704801</v>
      </c>
      <c r="AT3">
        <v>-0.14679366445189701</v>
      </c>
      <c r="AU3">
        <v>0.6</v>
      </c>
      <c r="AV3">
        <v>0.69767441860465096</v>
      </c>
      <c r="AW3">
        <v>4.4712328767123202</v>
      </c>
    </row>
    <row r="4" spans="1:49" x14ac:dyDescent="0.3">
      <c r="A4" t="s">
        <v>11</v>
      </c>
      <c r="B4" t="s">
        <v>12</v>
      </c>
      <c r="C4" s="7">
        <v>38356</v>
      </c>
      <c r="D4" s="7">
        <v>45076</v>
      </c>
      <c r="E4">
        <v>0</v>
      </c>
      <c r="F4">
        <v>3.1541241729665699</v>
      </c>
      <c r="G4">
        <v>8.0478217878030694E-2</v>
      </c>
      <c r="H4">
        <v>-0.34399164349358802</v>
      </c>
      <c r="I4">
        <v>0.23395399103504899</v>
      </c>
      <c r="J4">
        <v>-4.9879577250172398E-2</v>
      </c>
      <c r="K4">
        <v>1.48422603570814E-2</v>
      </c>
      <c r="L4">
        <v>-0.119924860202448</v>
      </c>
      <c r="M4">
        <v>-0.113199046158776</v>
      </c>
      <c r="N4">
        <v>-0.123508332906643</v>
      </c>
      <c r="O4">
        <v>4.3246462387756798E-2</v>
      </c>
      <c r="P4">
        <v>7.8311206782780696E-2</v>
      </c>
      <c r="Q4">
        <v>8.9443449058381003E-2</v>
      </c>
      <c r="R4">
        <v>8.0478217878030694E-2</v>
      </c>
      <c r="S4">
        <v>0.52760040015221799</v>
      </c>
      <c r="T4">
        <v>0.85990965862656898</v>
      </c>
      <c r="U4">
        <v>8.9233300179301298E-2</v>
      </c>
      <c r="V4">
        <v>0.169130463421856</v>
      </c>
      <c r="W4">
        <v>0.21181129159149201</v>
      </c>
      <c r="X4">
        <v>12.634158614432801</v>
      </c>
      <c r="Y4">
        <v>0.12229192837249001</v>
      </c>
      <c r="Z4">
        <v>-0.100378812125805</v>
      </c>
      <c r="AA4">
        <v>0.591506464150231</v>
      </c>
      <c r="AB4">
        <v>1.08492388189024</v>
      </c>
      <c r="AC4">
        <v>8.6953888497580401E-2</v>
      </c>
      <c r="AD4">
        <v>0.14700412213161501</v>
      </c>
      <c r="AE4">
        <v>-0.13153520447220199</v>
      </c>
      <c r="AF4">
        <v>0.61104789075900001</v>
      </c>
      <c r="AG4">
        <v>0.14420776711574701</v>
      </c>
      <c r="AH4">
        <v>-0.12611139871964</v>
      </c>
      <c r="AI4">
        <v>0.78968492114348898</v>
      </c>
      <c r="AJ4">
        <v>2.7396837050290399</v>
      </c>
      <c r="AK4">
        <v>8.9228835910312804E-2</v>
      </c>
      <c r="AL4">
        <v>0.112992958990664</v>
      </c>
      <c r="AM4">
        <v>0.22258736510973301</v>
      </c>
      <c r="AN4">
        <v>0.50238903002166602</v>
      </c>
      <c r="AO4">
        <v>0.34624357834814101</v>
      </c>
      <c r="AP4">
        <v>-0.113199046158776</v>
      </c>
      <c r="AQ4">
        <v>-2.7224810386348101E-2</v>
      </c>
      <c r="AR4">
        <v>40.1410256410256</v>
      </c>
      <c r="AS4">
        <v>3.51469124111745E-2</v>
      </c>
      <c r="AT4">
        <v>-3.1572284414942399E-2</v>
      </c>
      <c r="AU4">
        <v>0.77777777777777701</v>
      </c>
      <c r="AV4">
        <v>0.76666666666666605</v>
      </c>
      <c r="AW4">
        <v>18.410958904109499</v>
      </c>
    </row>
    <row r="5" spans="1:49" x14ac:dyDescent="0.3">
      <c r="A5" t="s">
        <v>13</v>
      </c>
      <c r="B5" t="s">
        <v>14</v>
      </c>
      <c r="C5" s="7">
        <v>43612</v>
      </c>
      <c r="D5" s="7">
        <v>45076</v>
      </c>
      <c r="E5">
        <v>0</v>
      </c>
      <c r="F5">
        <v>0.99804827077289604</v>
      </c>
      <c r="G5">
        <v>0.18849537238824099</v>
      </c>
      <c r="H5">
        <v>-0.34280669660337298</v>
      </c>
      <c r="I5">
        <v>0.54985907292916802</v>
      </c>
      <c r="J5">
        <v>-0.10062169205918101</v>
      </c>
      <c r="K5">
        <v>-0.11751484326916201</v>
      </c>
      <c r="L5">
        <v>-0.17952540654329599</v>
      </c>
      <c r="M5">
        <v>-6.2553950916399703E-2</v>
      </c>
      <c r="N5">
        <v>-0.119935902756286</v>
      </c>
      <c r="O5">
        <v>0.284989068461446</v>
      </c>
      <c r="P5">
        <v>0.18849537238824099</v>
      </c>
      <c r="R5">
        <v>0.18849537238824099</v>
      </c>
      <c r="S5">
        <v>0.64630855488954997</v>
      </c>
      <c r="T5">
        <v>1.04835605264917</v>
      </c>
      <c r="U5">
        <v>0.23149705928734901</v>
      </c>
      <c r="V5">
        <v>0.35818349847915998</v>
      </c>
      <c r="W5">
        <v>-0.195905753555461</v>
      </c>
      <c r="X5">
        <v>6.4377567508717499</v>
      </c>
      <c r="Y5">
        <v>0.123103481453609</v>
      </c>
      <c r="Z5">
        <v>-0.16438356711298499</v>
      </c>
      <c r="AA5">
        <v>0.87236500576975096</v>
      </c>
      <c r="AB5">
        <v>1.7504074388506301</v>
      </c>
      <c r="AC5">
        <v>0.224940488577662</v>
      </c>
      <c r="AD5">
        <v>0.25785134329085202</v>
      </c>
      <c r="AE5">
        <v>-6.5639534297497998E-2</v>
      </c>
      <c r="AF5">
        <v>-0.39473764851022802</v>
      </c>
      <c r="AG5">
        <v>0.166054340940062</v>
      </c>
      <c r="AH5">
        <v>-0.13541999329872501</v>
      </c>
      <c r="AI5">
        <v>1.0951109963153101</v>
      </c>
      <c r="AJ5">
        <v>6.1036052819280497</v>
      </c>
      <c r="AK5">
        <v>0.19090231260940199</v>
      </c>
      <c r="AL5">
        <v>0.17432234107019801</v>
      </c>
      <c r="AM5">
        <v>-1.6280635719112</v>
      </c>
      <c r="AN5">
        <v>3.0248848732247899</v>
      </c>
      <c r="AO5">
        <v>0.33485992671489401</v>
      </c>
      <c r="AP5">
        <v>-6.2553950916399703E-2</v>
      </c>
      <c r="AQ5">
        <v>-6.2593971175778307E-2</v>
      </c>
      <c r="AR5">
        <v>34.6410256410256</v>
      </c>
      <c r="AS5">
        <v>6.3691042966553299E-2</v>
      </c>
      <c r="AT5">
        <v>-5.61649630381083E-2</v>
      </c>
      <c r="AU5">
        <v>0.75</v>
      </c>
      <c r="AV5">
        <v>0.86842105263157898</v>
      </c>
      <c r="AW5">
        <v>4.0109589041095797</v>
      </c>
    </row>
    <row r="6" spans="1:49" x14ac:dyDescent="0.3">
      <c r="A6" t="s">
        <v>15</v>
      </c>
      <c r="B6" t="s">
        <v>16</v>
      </c>
      <c r="C6" s="7">
        <v>38356</v>
      </c>
      <c r="D6" s="7">
        <v>45076</v>
      </c>
      <c r="E6">
        <v>0</v>
      </c>
      <c r="F6">
        <v>46.055176091594099</v>
      </c>
      <c r="G6">
        <v>0.23285128608623001</v>
      </c>
      <c r="H6">
        <v>-0.50864509949694303</v>
      </c>
      <c r="I6">
        <v>0.45778733800153198</v>
      </c>
      <c r="J6">
        <v>-8.7706481091660501E-3</v>
      </c>
      <c r="K6">
        <v>-6.3903857128156299E-2</v>
      </c>
      <c r="L6">
        <v>5.1785986093106903E-2</v>
      </c>
      <c r="M6">
        <v>0.120415179090529</v>
      </c>
      <c r="N6">
        <v>0.20767168289705901</v>
      </c>
      <c r="O6">
        <v>0.24154456916457201</v>
      </c>
      <c r="P6">
        <v>0.251070933358994</v>
      </c>
      <c r="Q6">
        <v>0.274040749060455</v>
      </c>
      <c r="R6">
        <v>0.23285128608623001</v>
      </c>
      <c r="S6">
        <v>0.73524876021047303</v>
      </c>
      <c r="T6">
        <v>1.25597394921385</v>
      </c>
      <c r="U6">
        <v>0.26963447885959702</v>
      </c>
      <c r="V6">
        <v>0.36672551312077101</v>
      </c>
      <c r="W6">
        <v>0.405202568893753</v>
      </c>
      <c r="X6">
        <v>6.5838394144623402</v>
      </c>
      <c r="Y6">
        <v>0.237809832359862</v>
      </c>
      <c r="Z6">
        <v>-0.14842353434592701</v>
      </c>
      <c r="AA6">
        <v>0.83711486241689304</v>
      </c>
      <c r="AB6">
        <v>1.7140588769213401</v>
      </c>
      <c r="AC6">
        <v>0.25758140559633202</v>
      </c>
      <c r="AD6">
        <v>0.30770138861547702</v>
      </c>
      <c r="AE6">
        <v>0.124001838926607</v>
      </c>
      <c r="AF6">
        <v>-3.0151636444406899E-2</v>
      </c>
      <c r="AG6">
        <v>0.26164956140467199</v>
      </c>
      <c r="AH6">
        <v>-0.21555679960924201</v>
      </c>
      <c r="AI6">
        <v>0.85226958667376496</v>
      </c>
      <c r="AJ6">
        <v>3.6336349486074</v>
      </c>
      <c r="AK6">
        <v>0.26757767455047499</v>
      </c>
      <c r="AL6">
        <v>0.31395896173507198</v>
      </c>
      <c r="AM6">
        <v>-0.102640338195883</v>
      </c>
      <c r="AN6">
        <v>-1.02721383091031</v>
      </c>
      <c r="AO6">
        <v>0.84148597722547602</v>
      </c>
      <c r="AP6">
        <v>-0.23918089589313599</v>
      </c>
      <c r="AQ6">
        <v>-4.4925037250565798E-2</v>
      </c>
      <c r="AR6">
        <v>32.791443850267299</v>
      </c>
      <c r="AS6">
        <v>8.1753316489812405E-2</v>
      </c>
      <c r="AT6">
        <v>-5.9346724557981498E-2</v>
      </c>
      <c r="AU6">
        <v>0.72222222222222199</v>
      </c>
      <c r="AV6">
        <v>0.78571428571428503</v>
      </c>
      <c r="AW6">
        <v>18.410958904109499</v>
      </c>
    </row>
    <row r="7" spans="1:49" x14ac:dyDescent="0.3">
      <c r="A7" t="s">
        <v>17</v>
      </c>
      <c r="B7" t="s">
        <v>18</v>
      </c>
      <c r="C7" s="7">
        <v>41113</v>
      </c>
      <c r="D7" s="7">
        <v>45076</v>
      </c>
      <c r="E7">
        <v>0</v>
      </c>
      <c r="F7">
        <v>11.3750724975769</v>
      </c>
      <c r="G7">
        <v>0.26094078597297099</v>
      </c>
      <c r="H7">
        <v>-0.47983364938387801</v>
      </c>
      <c r="I7">
        <v>0.54381510406372602</v>
      </c>
      <c r="J7">
        <v>0.16452914561572499</v>
      </c>
      <c r="K7">
        <v>0.127992786724619</v>
      </c>
      <c r="L7">
        <v>0.250618030374961</v>
      </c>
      <c r="M7">
        <v>0.52271754300460505</v>
      </c>
      <c r="N7">
        <v>0.25777423706431601</v>
      </c>
      <c r="O7">
        <v>0.38928294359753302</v>
      </c>
      <c r="P7">
        <v>0.24909027019605101</v>
      </c>
      <c r="Q7">
        <v>0.27910636845677</v>
      </c>
      <c r="R7">
        <v>0.26094078597297099</v>
      </c>
      <c r="S7">
        <v>0.77957647738991398</v>
      </c>
      <c r="T7">
        <v>1.2696743580593901</v>
      </c>
      <c r="U7">
        <v>0.298111878573592</v>
      </c>
      <c r="V7">
        <v>0.38240235207159501</v>
      </c>
      <c r="W7">
        <v>-0.20910604477170999</v>
      </c>
      <c r="X7">
        <v>9.7857452373111595</v>
      </c>
      <c r="Y7">
        <v>0.18600523706105301</v>
      </c>
      <c r="Z7">
        <v>-0.24154048782722201</v>
      </c>
      <c r="AA7">
        <v>0.79823599950630797</v>
      </c>
      <c r="AB7">
        <v>1.5913545192122101</v>
      </c>
      <c r="AC7">
        <v>0.28924704021877001</v>
      </c>
      <c r="AD7">
        <v>0.36235779944485402</v>
      </c>
      <c r="AE7">
        <v>-2.92127803415143E-2</v>
      </c>
      <c r="AF7">
        <v>-0.15652198530859801</v>
      </c>
      <c r="AG7">
        <v>0.32881229900147302</v>
      </c>
      <c r="AH7">
        <v>-0.25819612476968601</v>
      </c>
      <c r="AI7">
        <v>0.77375717430159596</v>
      </c>
      <c r="AJ7">
        <v>2.8440595010988998</v>
      </c>
      <c r="AK7">
        <v>0.31072191929419901</v>
      </c>
      <c r="AL7">
        <v>0.40157549372600099</v>
      </c>
      <c r="AM7">
        <v>0.35224689829690198</v>
      </c>
      <c r="AN7">
        <v>0.74945026128584902</v>
      </c>
      <c r="AO7">
        <v>1.13276479943319</v>
      </c>
      <c r="AP7">
        <v>-0.29005334685434903</v>
      </c>
      <c r="AQ7">
        <v>-6.3460669551725898E-2</v>
      </c>
      <c r="AR7">
        <v>42.632183908045903</v>
      </c>
      <c r="AS7">
        <v>9.5011657483249606E-2</v>
      </c>
      <c r="AT7">
        <v>-7.2588449252249304E-2</v>
      </c>
      <c r="AU7">
        <v>0.81818181818181801</v>
      </c>
      <c r="AV7">
        <v>0.67500000000000004</v>
      </c>
      <c r="AW7">
        <v>10.8575342465753</v>
      </c>
    </row>
    <row r="8" spans="1:49" x14ac:dyDescent="0.3">
      <c r="A8" t="s">
        <v>19</v>
      </c>
      <c r="B8" t="s">
        <v>20</v>
      </c>
      <c r="C8" s="7">
        <v>38356</v>
      </c>
      <c r="D8" s="7">
        <v>45076</v>
      </c>
      <c r="E8">
        <v>0</v>
      </c>
      <c r="F8">
        <v>19.427841328904201</v>
      </c>
      <c r="G8">
        <v>0.17818665987017401</v>
      </c>
      <c r="H8">
        <v>-0.424585538896189</v>
      </c>
      <c r="I8">
        <v>0.41967199432513203</v>
      </c>
      <c r="J8">
        <v>-3.5746450560976799E-2</v>
      </c>
      <c r="K8">
        <v>3.4781008745053001E-2</v>
      </c>
      <c r="L8">
        <v>-7.8289846362185597E-2</v>
      </c>
      <c r="M8">
        <v>-3.2268461165288101E-2</v>
      </c>
      <c r="N8">
        <v>-0.16484143971964599</v>
      </c>
      <c r="O8">
        <v>6.5292402481056999E-2</v>
      </c>
      <c r="P8">
        <v>0.13224340196554599</v>
      </c>
      <c r="Q8">
        <v>0.147436448497583</v>
      </c>
      <c r="R8">
        <v>0.17818665987017401</v>
      </c>
      <c r="S8">
        <v>0.71998390414941205</v>
      </c>
      <c r="T8">
        <v>1.1740495018997801</v>
      </c>
      <c r="U8">
        <v>0.19596980306554199</v>
      </c>
      <c r="V8">
        <v>0.27218636685643799</v>
      </c>
      <c r="W8">
        <v>-0.18069903827984601</v>
      </c>
      <c r="X8">
        <v>12.681388754293801</v>
      </c>
      <c r="Y8">
        <v>0.15257031372023999</v>
      </c>
      <c r="Z8">
        <v>-0.186770349797971</v>
      </c>
      <c r="AA8">
        <v>0.84154899724132004</v>
      </c>
      <c r="AB8">
        <v>1.5320316795461899</v>
      </c>
      <c r="AC8">
        <v>0.19239224555794099</v>
      </c>
      <c r="AD8">
        <v>0.228616808039249</v>
      </c>
      <c r="AE8">
        <v>-0.36457077501254997</v>
      </c>
      <c r="AF8">
        <v>0.75725438402091705</v>
      </c>
      <c r="AG8">
        <v>0.197728431371681</v>
      </c>
      <c r="AH8">
        <v>-0.20083646190024301</v>
      </c>
      <c r="AI8">
        <v>0.76032087297358697</v>
      </c>
      <c r="AJ8">
        <v>2.7597406229829602</v>
      </c>
      <c r="AK8">
        <v>0.20898024854061201</v>
      </c>
      <c r="AL8">
        <v>0.274857965852362</v>
      </c>
      <c r="AM8">
        <v>0.12158432996432</v>
      </c>
      <c r="AN8">
        <v>-0.58295101101964297</v>
      </c>
      <c r="AO8">
        <v>0.74482790225929996</v>
      </c>
      <c r="AP8">
        <v>-0.31962915758493599</v>
      </c>
      <c r="AQ8">
        <v>-3.2753415931236103E-2</v>
      </c>
      <c r="AR8">
        <v>27.418918918918902</v>
      </c>
      <c r="AS8">
        <v>5.6950276727670397E-2</v>
      </c>
      <c r="AT8">
        <v>-4.6519490071470097E-2</v>
      </c>
      <c r="AU8">
        <v>0.72222222222222199</v>
      </c>
      <c r="AV8">
        <v>0.82857142857142796</v>
      </c>
      <c r="AW8">
        <v>18.410958904109499</v>
      </c>
    </row>
    <row r="9" spans="1:49" x14ac:dyDescent="0.3">
      <c r="A9" t="s">
        <v>21</v>
      </c>
      <c r="B9" t="s">
        <v>22</v>
      </c>
      <c r="C9" s="7">
        <v>39527</v>
      </c>
      <c r="D9" s="7">
        <v>45076</v>
      </c>
      <c r="E9">
        <v>0</v>
      </c>
      <c r="F9">
        <v>14.3195541552127</v>
      </c>
      <c r="G9">
        <v>0.19678480223776301</v>
      </c>
      <c r="H9">
        <v>-0.519047007375396</v>
      </c>
      <c r="I9">
        <v>0.37912712999314102</v>
      </c>
      <c r="J9">
        <v>-4.5795060803027303E-2</v>
      </c>
      <c r="K9">
        <v>9.6940478207170298E-3</v>
      </c>
      <c r="L9">
        <v>2.5378207686715899E-2</v>
      </c>
      <c r="M9">
        <v>7.0981289051495297E-2</v>
      </c>
      <c r="N9">
        <v>4.9414619732208197E-2</v>
      </c>
      <c r="O9">
        <v>5.2097230420376603E-2</v>
      </c>
      <c r="P9">
        <v>0.11897800925127899</v>
      </c>
      <c r="Q9">
        <v>0.18041460249270999</v>
      </c>
      <c r="R9">
        <v>0.19678480223776301</v>
      </c>
      <c r="S9">
        <v>0.74215868835265497</v>
      </c>
      <c r="T9">
        <v>1.2287485788900001</v>
      </c>
      <c r="U9">
        <v>0.216438055671445</v>
      </c>
      <c r="V9">
        <v>0.291633122495494</v>
      </c>
      <c r="W9">
        <v>0.220648577714294</v>
      </c>
      <c r="X9">
        <v>8.7312468369418301</v>
      </c>
      <c r="Y9">
        <v>0.14997339392012399</v>
      </c>
      <c r="Z9">
        <v>-0.136434729538043</v>
      </c>
      <c r="AA9">
        <v>0.90326144519953999</v>
      </c>
      <c r="AB9">
        <v>1.8230141466247201</v>
      </c>
      <c r="AC9">
        <v>0.209619165643296</v>
      </c>
      <c r="AD9">
        <v>0.23206920516461099</v>
      </c>
      <c r="AE9">
        <v>0.32698996414939002</v>
      </c>
      <c r="AF9">
        <v>2.7673235183597602</v>
      </c>
      <c r="AG9">
        <v>0.33819771373214202</v>
      </c>
      <c r="AH9">
        <v>-0.19574694666307799</v>
      </c>
      <c r="AI9">
        <v>0.96035208781677905</v>
      </c>
      <c r="AJ9">
        <v>4.8769050568158896</v>
      </c>
      <c r="AK9">
        <v>0.239625562731279</v>
      </c>
      <c r="AL9">
        <v>0.24951844825581901</v>
      </c>
      <c r="AM9">
        <v>8.1940854031518698E-2</v>
      </c>
      <c r="AN9">
        <v>-0.97760454824685505</v>
      </c>
      <c r="AO9">
        <v>0.67860517332691594</v>
      </c>
      <c r="AP9">
        <v>-0.18991769363564101</v>
      </c>
      <c r="AQ9">
        <v>-3.36414723950283E-2</v>
      </c>
      <c r="AR9">
        <v>26.876344086021501</v>
      </c>
      <c r="AS9">
        <v>5.7250187146824102E-2</v>
      </c>
      <c r="AT9">
        <v>-4.7681842541079301E-2</v>
      </c>
      <c r="AU9">
        <v>0.8</v>
      </c>
      <c r="AV9">
        <v>0.84883720930232498</v>
      </c>
      <c r="AW9">
        <v>15.2027397260273</v>
      </c>
    </row>
    <row r="10" spans="1:49" x14ac:dyDescent="0.3">
      <c r="A10" t="s">
        <v>23</v>
      </c>
      <c r="B10" t="s">
        <v>24</v>
      </c>
      <c r="C10" s="7">
        <v>38356</v>
      </c>
      <c r="D10" s="7">
        <v>45076</v>
      </c>
      <c r="E10">
        <v>0</v>
      </c>
      <c r="F10">
        <v>181.69826041137401</v>
      </c>
      <c r="G10">
        <v>0.327184568871006</v>
      </c>
      <c r="H10">
        <v>-0.60866748929391001</v>
      </c>
      <c r="I10">
        <v>0.53754237679189898</v>
      </c>
      <c r="J10">
        <v>4.6353428809266399E-2</v>
      </c>
      <c r="K10">
        <v>0.20443142850686499</v>
      </c>
      <c r="L10">
        <v>0.20121824138716601</v>
      </c>
      <c r="M10">
        <v>0.36855485752264699</v>
      </c>
      <c r="N10">
        <v>0.191918610638903</v>
      </c>
      <c r="O10">
        <v>0.31016177603094902</v>
      </c>
      <c r="P10">
        <v>0.31676350273603499</v>
      </c>
      <c r="Q10">
        <v>0.289040246032501</v>
      </c>
      <c r="R10">
        <v>0.327184568871006</v>
      </c>
      <c r="S10">
        <v>1.00886853089594</v>
      </c>
      <c r="T10">
        <v>1.68795621404687</v>
      </c>
      <c r="U10">
        <v>0.32662129366029602</v>
      </c>
      <c r="V10">
        <v>0.32375010584405201</v>
      </c>
      <c r="W10">
        <v>-2.3334117087713199E-2</v>
      </c>
      <c r="X10">
        <v>5.43093367983154</v>
      </c>
      <c r="Y10">
        <v>0.139049676131066</v>
      </c>
      <c r="Z10">
        <v>-0.17919502174361299</v>
      </c>
      <c r="AA10">
        <v>1.03219494208789</v>
      </c>
      <c r="AB10">
        <v>1.96213225558865</v>
      </c>
      <c r="AC10">
        <v>0.32824465875807102</v>
      </c>
      <c r="AD10">
        <v>0.318006459219909</v>
      </c>
      <c r="AE10">
        <v>-0.45473032545215097</v>
      </c>
      <c r="AF10">
        <v>0.87375506409796899</v>
      </c>
      <c r="AG10">
        <v>0.23770093704173101</v>
      </c>
      <c r="AH10">
        <v>-0.32955776568009698</v>
      </c>
      <c r="AI10">
        <v>0.72592486450769</v>
      </c>
      <c r="AJ10">
        <v>2.5926329965423398</v>
      </c>
      <c r="AK10">
        <v>0.37237103261561999</v>
      </c>
      <c r="AL10">
        <v>0.51296084597977798</v>
      </c>
      <c r="AM10">
        <v>0.56957970186102103</v>
      </c>
      <c r="AN10">
        <v>0.55131156288045202</v>
      </c>
      <c r="AO10">
        <v>1.4690099557038601</v>
      </c>
      <c r="AP10">
        <v>-0.56911354316824703</v>
      </c>
      <c r="AQ10">
        <v>-4.8003314789536899E-2</v>
      </c>
      <c r="AR10">
        <v>32.159574468085097</v>
      </c>
      <c r="AS10">
        <v>8.5054678051708604E-2</v>
      </c>
      <c r="AT10">
        <v>-6.4288974036267099E-2</v>
      </c>
      <c r="AU10">
        <v>0.77777777777777701</v>
      </c>
      <c r="AV10">
        <v>0.79047619047619</v>
      </c>
      <c r="AW10">
        <v>18.410958904109499</v>
      </c>
    </row>
    <row r="11" spans="1:49" x14ac:dyDescent="0.3">
      <c r="A11" t="s">
        <v>25</v>
      </c>
      <c r="B11" t="s">
        <v>26</v>
      </c>
      <c r="C11" s="7">
        <v>41922</v>
      </c>
      <c r="D11" s="7">
        <v>45076</v>
      </c>
      <c r="E11">
        <v>0</v>
      </c>
      <c r="F11">
        <v>16.569019562372102</v>
      </c>
      <c r="G11">
        <v>0.39363291110000098</v>
      </c>
      <c r="H11">
        <v>-0.69945311332082505</v>
      </c>
      <c r="I11">
        <v>0.56277240547423202</v>
      </c>
      <c r="J11">
        <v>0.21244801064834701</v>
      </c>
      <c r="K11">
        <v>0.31928869412275701</v>
      </c>
      <c r="L11">
        <v>0.68425570715370998</v>
      </c>
      <c r="M11">
        <v>0.76522670170352902</v>
      </c>
      <c r="N11">
        <v>0.44813301937161298</v>
      </c>
      <c r="O11">
        <v>0.338668819681337</v>
      </c>
      <c r="P11">
        <v>0.33530016956302</v>
      </c>
      <c r="Q11">
        <v>0.39363291110000098</v>
      </c>
      <c r="R11">
        <v>0.39363291110000098</v>
      </c>
      <c r="S11">
        <v>0.88938302112154299</v>
      </c>
      <c r="T11">
        <v>1.5213936847807601</v>
      </c>
      <c r="U11">
        <v>0.44783296653593802</v>
      </c>
      <c r="V11">
        <v>0.503532174440664</v>
      </c>
      <c r="W11">
        <v>0.28403743706149798</v>
      </c>
      <c r="X11">
        <v>4.8245402027064603</v>
      </c>
      <c r="Y11">
        <v>0.19755605101340201</v>
      </c>
      <c r="Z11">
        <v>-0.19854783620029301</v>
      </c>
      <c r="AA11">
        <v>0.92182906614043503</v>
      </c>
      <c r="AB11">
        <v>1.83749826783693</v>
      </c>
      <c r="AC11">
        <v>0.410960743769891</v>
      </c>
      <c r="AD11">
        <v>0.445810138630716</v>
      </c>
      <c r="AE11">
        <v>6.7624729950816004E-2</v>
      </c>
      <c r="AF11">
        <v>0.46042870459502999</v>
      </c>
      <c r="AG11">
        <v>0.38366465101977898</v>
      </c>
      <c r="AH11">
        <v>-0.27916890139092498</v>
      </c>
      <c r="AI11">
        <v>0.81866706340520501</v>
      </c>
      <c r="AJ11">
        <v>2.6202660653059802</v>
      </c>
      <c r="AK11">
        <v>0.49350804909788298</v>
      </c>
      <c r="AL11">
        <v>0.60281898607861495</v>
      </c>
      <c r="AM11">
        <v>-0.26447656557020599</v>
      </c>
      <c r="AN11">
        <v>0.48049211124992303</v>
      </c>
      <c r="AO11">
        <v>1.50119875357354</v>
      </c>
      <c r="AP11">
        <v>-0.56135933524416004</v>
      </c>
      <c r="AQ11">
        <v>-7.81764779079136E-2</v>
      </c>
      <c r="AR11">
        <v>34.119047619047599</v>
      </c>
      <c r="AS11">
        <v>0.112128955294686</v>
      </c>
      <c r="AT11">
        <v>-8.3526394575097695E-2</v>
      </c>
      <c r="AU11">
        <v>0.77777777777777701</v>
      </c>
      <c r="AV11">
        <v>0.77419354838709598</v>
      </c>
      <c r="AW11">
        <v>8.6410958904109592</v>
      </c>
    </row>
    <row r="12" spans="1:49" x14ac:dyDescent="0.3">
      <c r="A12" t="s">
        <v>27</v>
      </c>
      <c r="B12" t="s">
        <v>28</v>
      </c>
      <c r="C12" s="7">
        <v>41277</v>
      </c>
      <c r="D12" s="7">
        <v>45076</v>
      </c>
      <c r="E12">
        <v>0</v>
      </c>
      <c r="F12">
        <v>5.0089251206319503</v>
      </c>
      <c r="G12">
        <v>0.18816408942420801</v>
      </c>
      <c r="H12">
        <v>-0.45089766204700099</v>
      </c>
      <c r="I12">
        <v>0.41730996911799101</v>
      </c>
      <c r="J12">
        <v>-9.7141299299258799E-2</v>
      </c>
      <c r="K12">
        <v>-0.105294539721681</v>
      </c>
      <c r="L12">
        <v>-0.13758464187230199</v>
      </c>
      <c r="M12">
        <v>-0.139879321702086</v>
      </c>
      <c r="N12">
        <v>-5.51200039901295E-2</v>
      </c>
      <c r="O12">
        <v>0.19682939655439699</v>
      </c>
      <c r="P12">
        <v>0.108374912459165</v>
      </c>
      <c r="Q12">
        <v>0.16489097227258001</v>
      </c>
      <c r="R12">
        <v>0.18816408942420801</v>
      </c>
      <c r="S12">
        <v>0.76302519102074395</v>
      </c>
      <c r="T12">
        <v>1.19786011176651</v>
      </c>
      <c r="U12">
        <v>0.20244134498477601</v>
      </c>
      <c r="V12">
        <v>0.265314104130637</v>
      </c>
      <c r="W12">
        <v>-0.582616760092177</v>
      </c>
      <c r="X12">
        <v>10.473174812859501</v>
      </c>
      <c r="Y12">
        <v>0.13767314159734201</v>
      </c>
      <c r="Z12">
        <v>-0.16252396862638499</v>
      </c>
      <c r="AA12">
        <v>0.77784734205959105</v>
      </c>
      <c r="AB12">
        <v>1.5277741847294299</v>
      </c>
      <c r="AC12">
        <v>0.20129088913228499</v>
      </c>
      <c r="AD12">
        <v>0.258779426563707</v>
      </c>
      <c r="AE12">
        <v>9.5366332541185497E-2</v>
      </c>
      <c r="AF12">
        <v>0.34769391850761</v>
      </c>
      <c r="AG12">
        <v>0.22890718208407601</v>
      </c>
      <c r="AH12">
        <v>-0.182854224036061</v>
      </c>
      <c r="AI12">
        <v>0.72444403309657301</v>
      </c>
      <c r="AJ12">
        <v>3.4988282693190502</v>
      </c>
      <c r="AK12">
        <v>0.16196019851284699</v>
      </c>
      <c r="AL12">
        <v>0.22356481814138501</v>
      </c>
      <c r="AM12">
        <v>0.55534716364999503</v>
      </c>
      <c r="AN12">
        <v>7.0423557259265301E-2</v>
      </c>
      <c r="AO12">
        <v>0.60074904677396201</v>
      </c>
      <c r="AP12">
        <v>-0.139879321702086</v>
      </c>
      <c r="AQ12">
        <v>-3.8173430911100197E-2</v>
      </c>
      <c r="AR12">
        <v>39.224719101123597</v>
      </c>
      <c r="AS12">
        <v>6.1866817171117701E-2</v>
      </c>
      <c r="AT12">
        <v>-5.4622338554958301E-2</v>
      </c>
      <c r="AU12">
        <v>0.7</v>
      </c>
      <c r="AV12">
        <v>0.79824561403508698</v>
      </c>
      <c r="AW12">
        <v>10.408219178082099</v>
      </c>
    </row>
    <row r="13" spans="1:49" x14ac:dyDescent="0.3">
      <c r="A13" t="s">
        <v>29</v>
      </c>
      <c r="B13" t="s">
        <v>30</v>
      </c>
      <c r="C13" s="7">
        <v>38356</v>
      </c>
      <c r="D13" s="7">
        <v>45076</v>
      </c>
      <c r="E13">
        <v>0</v>
      </c>
      <c r="F13">
        <v>5.0033818464296003</v>
      </c>
      <c r="G13">
        <v>0.10232055510237401</v>
      </c>
      <c r="H13">
        <v>-0.43699977531572798</v>
      </c>
      <c r="I13">
        <v>0.23414326707250299</v>
      </c>
      <c r="J13">
        <v>-1.2154393056741699E-2</v>
      </c>
      <c r="K13">
        <v>4.3925626559878403E-2</v>
      </c>
      <c r="L13">
        <v>0.114495197130381</v>
      </c>
      <c r="M13">
        <v>0.142968026908984</v>
      </c>
      <c r="N13">
        <v>1.25612788208602E-2</v>
      </c>
      <c r="O13">
        <v>-6.4371976906770698E-2</v>
      </c>
      <c r="P13">
        <v>3.9621958994017201E-2</v>
      </c>
      <c r="Q13">
        <v>8.0396354278232399E-2</v>
      </c>
      <c r="R13">
        <v>0.10232055510237401</v>
      </c>
      <c r="S13">
        <v>0.50811265353978996</v>
      </c>
      <c r="T13">
        <v>0.81857447084287505</v>
      </c>
      <c r="U13">
        <v>0.12412503388323</v>
      </c>
      <c r="V13">
        <v>0.244286445178068</v>
      </c>
      <c r="W13">
        <v>0.28333048113776399</v>
      </c>
      <c r="X13">
        <v>16.7001608512373</v>
      </c>
      <c r="Y13">
        <v>0.22161002144773101</v>
      </c>
      <c r="Z13">
        <v>-0.117423152270901</v>
      </c>
      <c r="AA13">
        <v>0.60346153591644003</v>
      </c>
      <c r="AB13">
        <v>1.10266822636783</v>
      </c>
      <c r="AC13">
        <v>0.118085025528282</v>
      </c>
      <c r="AD13">
        <v>0.195679456767619</v>
      </c>
      <c r="AE13">
        <v>-8.6767246119149197E-2</v>
      </c>
      <c r="AF13">
        <v>2.8837331120269201</v>
      </c>
      <c r="AG13">
        <v>0.24173801173235099</v>
      </c>
      <c r="AH13">
        <v>-0.23206905469386799</v>
      </c>
      <c r="AI13">
        <v>0.60494880217015401</v>
      </c>
      <c r="AJ13">
        <v>1.0959248737813301</v>
      </c>
      <c r="AK13">
        <v>0.120415546198687</v>
      </c>
      <c r="AL13">
        <v>0.199050805236272</v>
      </c>
      <c r="AM13">
        <v>-1.1558459071784399</v>
      </c>
      <c r="AN13">
        <v>2.1904900780341401</v>
      </c>
      <c r="AO13">
        <v>0.46595983688287101</v>
      </c>
      <c r="AP13">
        <v>-0.370985220253788</v>
      </c>
      <c r="AQ13">
        <v>-3.6487497733240302E-2</v>
      </c>
      <c r="AR13">
        <v>37.377245508982</v>
      </c>
      <c r="AS13">
        <v>4.7203203520310301E-2</v>
      </c>
      <c r="AT13">
        <v>-3.8419844810763597E-2</v>
      </c>
      <c r="AU13">
        <v>0.88888888888888795</v>
      </c>
      <c r="AV13">
        <v>0.81428571428571395</v>
      </c>
      <c r="AW13">
        <v>18.410958904109499</v>
      </c>
    </row>
    <row r="14" spans="1:49" x14ac:dyDescent="0.3">
      <c r="A14" t="s">
        <v>31</v>
      </c>
      <c r="B14" t="s">
        <v>32</v>
      </c>
      <c r="C14" s="7">
        <v>38356</v>
      </c>
      <c r="D14" s="7">
        <v>45076</v>
      </c>
      <c r="E14">
        <v>0</v>
      </c>
      <c r="F14">
        <v>11.812901294058699</v>
      </c>
      <c r="G14">
        <v>0.14869202914756599</v>
      </c>
      <c r="H14">
        <v>-0.62607101219083805</v>
      </c>
      <c r="I14">
        <v>0.23750026155538101</v>
      </c>
      <c r="J14">
        <v>7.0610727220117298E-2</v>
      </c>
      <c r="K14">
        <v>-5.63498890262151E-2</v>
      </c>
      <c r="L14">
        <v>-0.12525983164891799</v>
      </c>
      <c r="M14">
        <v>-6.8621992838417495E-2</v>
      </c>
      <c r="N14">
        <v>-0.173970826995345</v>
      </c>
      <c r="O14">
        <v>-2.8134548506315801E-2</v>
      </c>
      <c r="P14">
        <v>6.1682670086444701E-2</v>
      </c>
      <c r="Q14">
        <v>0.146369566834263</v>
      </c>
      <c r="R14">
        <v>0.14869202914756599</v>
      </c>
      <c r="S14">
        <v>0.63012272961391103</v>
      </c>
      <c r="T14">
        <v>1.02477718576423</v>
      </c>
      <c r="U14">
        <v>0.17086124550448301</v>
      </c>
      <c r="V14">
        <v>0.27115550268941102</v>
      </c>
      <c r="W14">
        <v>0.45158431920213199</v>
      </c>
      <c r="X14">
        <v>13.1191243157893</v>
      </c>
      <c r="Y14">
        <v>0.22617770301976001</v>
      </c>
      <c r="Z14">
        <v>-0.11270850581188301</v>
      </c>
      <c r="AA14">
        <v>0.73296583443770502</v>
      </c>
      <c r="AB14">
        <v>1.2357886377818901</v>
      </c>
      <c r="AC14">
        <v>0.16553449787994801</v>
      </c>
      <c r="AD14">
        <v>0.225842038062986</v>
      </c>
      <c r="AE14">
        <v>-0.69175549254958202</v>
      </c>
      <c r="AF14">
        <v>2.3280454360992899</v>
      </c>
      <c r="AG14">
        <v>0.20492034537522999</v>
      </c>
      <c r="AH14">
        <v>-0.28104596494275902</v>
      </c>
      <c r="AI14">
        <v>0.50154489730540197</v>
      </c>
      <c r="AJ14">
        <v>1.2619606985913101</v>
      </c>
      <c r="AK14">
        <v>0.184681220793873</v>
      </c>
      <c r="AL14">
        <v>0.36822470288520598</v>
      </c>
      <c r="AM14">
        <v>0.56354506836325102</v>
      </c>
      <c r="AN14">
        <v>1.7610505634626701</v>
      </c>
      <c r="AO14">
        <v>1.1049428359069999</v>
      </c>
      <c r="AP14">
        <v>-0.45705802492048198</v>
      </c>
      <c r="AQ14">
        <v>-3.4970638668623398E-2</v>
      </c>
      <c r="AR14">
        <v>26.8603603603603</v>
      </c>
      <c r="AS14">
        <v>4.9832524683010401E-2</v>
      </c>
      <c r="AT14">
        <v>-5.4487952980979401E-2</v>
      </c>
      <c r="AU14">
        <v>0.77777777777777701</v>
      </c>
      <c r="AV14">
        <v>0.78571428571428503</v>
      </c>
      <c r="AW14">
        <v>18.410958904109499</v>
      </c>
    </row>
    <row r="15" spans="1:49" x14ac:dyDescent="0.3">
      <c r="A15" t="s">
        <v>33</v>
      </c>
      <c r="B15" t="s">
        <v>34</v>
      </c>
      <c r="C15" s="7">
        <v>38356</v>
      </c>
      <c r="D15" s="7">
        <v>45076</v>
      </c>
      <c r="E15">
        <v>0</v>
      </c>
      <c r="F15">
        <v>14.4634106467004</v>
      </c>
      <c r="G15">
        <v>0.160491404563816</v>
      </c>
      <c r="H15">
        <v>-0.48037940589161499</v>
      </c>
      <c r="I15">
        <v>0.33409301605245501</v>
      </c>
      <c r="J15">
        <v>1.16640996957071E-2</v>
      </c>
      <c r="K15">
        <v>5.14470566307332E-2</v>
      </c>
      <c r="L15">
        <v>-5.4286881962131703E-2</v>
      </c>
      <c r="M15">
        <v>0.117143181942026</v>
      </c>
      <c r="N15">
        <v>8.7132051676222996E-2</v>
      </c>
      <c r="O15">
        <v>0.200772350092255</v>
      </c>
      <c r="P15">
        <v>0.22169481663544699</v>
      </c>
      <c r="Q15">
        <v>0.186290039475243</v>
      </c>
      <c r="R15">
        <v>0.160491404563816</v>
      </c>
      <c r="S15">
        <v>0.75685842319965402</v>
      </c>
      <c r="T15">
        <v>1.25170243927449</v>
      </c>
      <c r="U15">
        <v>0.169111981969439</v>
      </c>
      <c r="V15">
        <v>0.223439386793781</v>
      </c>
      <c r="W15">
        <v>-1.01887207365777E-2</v>
      </c>
      <c r="X15">
        <v>8.5265340598536206</v>
      </c>
      <c r="Y15">
        <v>0.107514748985515</v>
      </c>
      <c r="Z15">
        <v>-0.124513210158449</v>
      </c>
      <c r="AA15">
        <v>0.86961153449868001</v>
      </c>
      <c r="AB15">
        <v>1.59772263581376</v>
      </c>
      <c r="AC15">
        <v>0.168864020154702</v>
      </c>
      <c r="AD15">
        <v>0.19418328006889801</v>
      </c>
      <c r="AE15">
        <v>-0.35852946678655001</v>
      </c>
      <c r="AF15">
        <v>0.17765153378484899</v>
      </c>
      <c r="AG15">
        <v>0.14835635692987201</v>
      </c>
      <c r="AH15">
        <v>-0.153453976782229</v>
      </c>
      <c r="AI15">
        <v>0.92414252222601101</v>
      </c>
      <c r="AJ15">
        <v>2.5171143230353401</v>
      </c>
      <c r="AK15">
        <v>0.17645545542118801</v>
      </c>
      <c r="AL15">
        <v>0.19093965614324701</v>
      </c>
      <c r="AM15">
        <v>-0.54667668426965799</v>
      </c>
      <c r="AN15">
        <v>0.82129545636948398</v>
      </c>
      <c r="AO15">
        <v>0.518212024851882</v>
      </c>
      <c r="AP15">
        <v>-0.239884515059305</v>
      </c>
      <c r="AQ15">
        <v>-3.6361601643796301E-2</v>
      </c>
      <c r="AR15">
        <v>33.021621621621598</v>
      </c>
      <c r="AS15">
        <v>4.8645067203785697E-2</v>
      </c>
      <c r="AT15">
        <v>-4.1903437740618901E-2</v>
      </c>
      <c r="AU15">
        <v>0.88888888888888795</v>
      </c>
      <c r="AV15">
        <v>0.88095238095238004</v>
      </c>
      <c r="AW15">
        <v>18.410958904109499</v>
      </c>
    </row>
    <row r="16" spans="1:49" x14ac:dyDescent="0.3">
      <c r="A16" t="s">
        <v>35</v>
      </c>
      <c r="B16" t="s">
        <v>36</v>
      </c>
      <c r="C16" s="7">
        <v>38356</v>
      </c>
      <c r="D16" s="7">
        <v>45076</v>
      </c>
      <c r="E16">
        <v>0</v>
      </c>
      <c r="F16">
        <v>42.767790034245301</v>
      </c>
      <c r="G16">
        <v>0.228007868180849</v>
      </c>
      <c r="H16">
        <v>-0.461472347883425</v>
      </c>
      <c r="I16">
        <v>0.49408782395439899</v>
      </c>
      <c r="J16">
        <v>-4.3569327541160198E-2</v>
      </c>
      <c r="K16">
        <v>0.14256683023012101</v>
      </c>
      <c r="L16">
        <v>0.29286116711328303</v>
      </c>
      <c r="M16">
        <v>0.19026522825303899</v>
      </c>
      <c r="N16">
        <v>0.50324782693566295</v>
      </c>
      <c r="O16">
        <v>0.36868314759583298</v>
      </c>
      <c r="P16">
        <v>0.296001868252946</v>
      </c>
      <c r="Q16">
        <v>0.192243800695092</v>
      </c>
      <c r="R16">
        <v>0.228007868180849</v>
      </c>
      <c r="S16">
        <v>0.874493668196761</v>
      </c>
      <c r="T16">
        <v>1.4178045315281</v>
      </c>
      <c r="U16">
        <v>0.23523807557905099</v>
      </c>
      <c r="V16">
        <v>0.26899917533321999</v>
      </c>
      <c r="W16">
        <v>-0.293737805818788</v>
      </c>
      <c r="X16">
        <v>7.5121934212566597</v>
      </c>
      <c r="Y16">
        <v>0.15492963804327001</v>
      </c>
      <c r="Z16">
        <v>-0.139840829420876</v>
      </c>
      <c r="AA16">
        <v>1.0572442861852001</v>
      </c>
      <c r="AB16">
        <v>2.1624181015734401</v>
      </c>
      <c r="AC16">
        <v>0.22852912240657</v>
      </c>
      <c r="AD16">
        <v>0.216155457534946</v>
      </c>
      <c r="AE16">
        <v>-2.01034253864943E-2</v>
      </c>
      <c r="AF16">
        <v>0.30957756879592402</v>
      </c>
      <c r="AG16">
        <v>0.19967420641877801</v>
      </c>
      <c r="AH16">
        <v>-0.17209201198820201</v>
      </c>
      <c r="AI16">
        <v>0.87771427018457104</v>
      </c>
      <c r="AJ16">
        <v>2.7133158424266202</v>
      </c>
      <c r="AK16">
        <v>0.26429115937452802</v>
      </c>
      <c r="AL16">
        <v>0.30111297987550201</v>
      </c>
      <c r="AM16">
        <v>-0.352965112919645</v>
      </c>
      <c r="AN16">
        <v>-8.3848537234465004E-2</v>
      </c>
      <c r="AO16">
        <v>0.794954341648761</v>
      </c>
      <c r="AP16">
        <v>-0.36564851183158398</v>
      </c>
      <c r="AQ16">
        <v>-4.16412587042371E-2</v>
      </c>
      <c r="AR16">
        <v>32.350785340314097</v>
      </c>
      <c r="AS16">
        <v>5.6481214352168498E-2</v>
      </c>
      <c r="AT16">
        <v>-4.3959841501773803E-2</v>
      </c>
      <c r="AU16">
        <v>0.83333333333333304</v>
      </c>
      <c r="AV16">
        <v>0.82857142857142796</v>
      </c>
      <c r="AW16">
        <v>18.410958904109499</v>
      </c>
    </row>
    <row r="17" spans="1:49" x14ac:dyDescent="0.3">
      <c r="A17" t="s">
        <v>37</v>
      </c>
      <c r="B17" t="s">
        <v>38</v>
      </c>
      <c r="C17" s="7">
        <v>38356</v>
      </c>
      <c r="D17" s="7">
        <v>45076</v>
      </c>
      <c r="E17">
        <v>0</v>
      </c>
      <c r="F17">
        <v>17.3730552780167</v>
      </c>
      <c r="G17">
        <v>0.17141732887497799</v>
      </c>
      <c r="H17">
        <v>-0.53907513943357899</v>
      </c>
      <c r="I17">
        <v>0.31798411081447903</v>
      </c>
      <c r="J17">
        <v>-7.3310599965989404E-2</v>
      </c>
      <c r="K17">
        <v>-5.0220512828027898E-2</v>
      </c>
      <c r="L17">
        <v>-8.1034514353128806E-2</v>
      </c>
      <c r="M17">
        <v>-6.5622201712071795E-2</v>
      </c>
      <c r="N17">
        <v>-9.9500464733681501E-2</v>
      </c>
      <c r="O17">
        <v>0.14039062914533201</v>
      </c>
      <c r="P17">
        <v>0.19799255483870501</v>
      </c>
      <c r="Q17">
        <v>0.196230680232165</v>
      </c>
      <c r="R17">
        <v>0.17141732887497799</v>
      </c>
      <c r="S17">
        <v>0.71689659715607401</v>
      </c>
      <c r="T17">
        <v>1.17807312064598</v>
      </c>
      <c r="U17">
        <v>0.18736827359388999</v>
      </c>
      <c r="V17">
        <v>0.261360249633182</v>
      </c>
      <c r="W17">
        <v>4.2022925197180802E-2</v>
      </c>
      <c r="X17">
        <v>6.9601052078889403</v>
      </c>
      <c r="Y17">
        <v>0.16898297808462101</v>
      </c>
      <c r="Z17">
        <v>-0.10636871832843001</v>
      </c>
      <c r="AA17">
        <v>0.83697125850322496</v>
      </c>
      <c r="AB17">
        <v>1.5649644435942001</v>
      </c>
      <c r="AC17">
        <v>0.18242552961007999</v>
      </c>
      <c r="AD17">
        <v>0.217959132714206</v>
      </c>
      <c r="AE17">
        <v>-0.31564280819563101</v>
      </c>
      <c r="AF17">
        <v>1.1113927607055101</v>
      </c>
      <c r="AG17">
        <v>0.18027160050038901</v>
      </c>
      <c r="AH17">
        <v>-0.26181854076687</v>
      </c>
      <c r="AI17">
        <v>0.71874741495880101</v>
      </c>
      <c r="AJ17">
        <v>1.96548187634766</v>
      </c>
      <c r="AK17">
        <v>0.21215555180718099</v>
      </c>
      <c r="AL17">
        <v>0.29517400326141202</v>
      </c>
      <c r="AM17">
        <v>-0.38385025268650602</v>
      </c>
      <c r="AN17">
        <v>-0.154575925874366</v>
      </c>
      <c r="AO17">
        <v>0.75784354810827803</v>
      </c>
      <c r="AP17">
        <v>-0.40932746377177798</v>
      </c>
      <c r="AQ17">
        <v>-3.4163040736716797E-2</v>
      </c>
      <c r="AR17">
        <v>29.502415458937101</v>
      </c>
      <c r="AS17">
        <v>5.4028703867867997E-2</v>
      </c>
      <c r="AT17">
        <v>-4.7659948609268699E-2</v>
      </c>
      <c r="AU17">
        <v>0.72222222222222199</v>
      </c>
      <c r="AV17">
        <v>0.84285714285714197</v>
      </c>
      <c r="AW17">
        <v>18.410958904109499</v>
      </c>
    </row>
    <row r="18" spans="1:49" x14ac:dyDescent="0.3">
      <c r="A18" t="s">
        <v>39</v>
      </c>
      <c r="B18" t="s">
        <v>40</v>
      </c>
      <c r="C18" s="7">
        <v>38356</v>
      </c>
      <c r="D18" s="7">
        <v>45076</v>
      </c>
      <c r="E18">
        <v>0</v>
      </c>
      <c r="F18">
        <v>52.513444242465503</v>
      </c>
      <c r="G18">
        <v>0.24149961337819301</v>
      </c>
      <c r="H18">
        <v>-0.70495769186574098</v>
      </c>
      <c r="I18">
        <v>0.34257320143431602</v>
      </c>
      <c r="J18">
        <v>0.103342241793622</v>
      </c>
      <c r="K18">
        <v>0.33775438115449602</v>
      </c>
      <c r="L18">
        <v>0.36580340166731901</v>
      </c>
      <c r="M18">
        <v>0.65072781629333698</v>
      </c>
      <c r="N18">
        <v>0.32568132662550697</v>
      </c>
      <c r="O18">
        <v>7.4832280561666104E-2</v>
      </c>
      <c r="P18">
        <v>0.111024914125765</v>
      </c>
      <c r="Q18">
        <v>0.17740144348325801</v>
      </c>
      <c r="R18">
        <v>0.24149961337819301</v>
      </c>
      <c r="S18">
        <v>0.71432988545954201</v>
      </c>
      <c r="T18">
        <v>1.2537006541099001</v>
      </c>
      <c r="U18">
        <v>0.29247462410647201</v>
      </c>
      <c r="V18">
        <v>0.40943915417778898</v>
      </c>
      <c r="W18">
        <v>0.71753450876313396</v>
      </c>
      <c r="X18">
        <v>8.4769509101947893</v>
      </c>
      <c r="Y18">
        <v>0.26044898624222901</v>
      </c>
      <c r="Z18">
        <v>-0.18453296307209599</v>
      </c>
      <c r="AA18">
        <v>0.78762189360028201</v>
      </c>
      <c r="AB18">
        <v>1.6728847417413799</v>
      </c>
      <c r="AC18">
        <v>0.29753403472372802</v>
      </c>
      <c r="AD18">
        <v>0.37776252430424001</v>
      </c>
      <c r="AE18">
        <v>0.433404357658567</v>
      </c>
      <c r="AF18">
        <v>1.27446579794171</v>
      </c>
      <c r="AG18">
        <v>0.40263335710799802</v>
      </c>
      <c r="AH18">
        <v>-0.360330617594738</v>
      </c>
      <c r="AI18">
        <v>0.63117974899403295</v>
      </c>
      <c r="AJ18">
        <v>1.7861107937876599</v>
      </c>
      <c r="AK18">
        <v>0.287410680707614</v>
      </c>
      <c r="AL18">
        <v>0.455354724491219</v>
      </c>
      <c r="AM18">
        <v>0.155756161008893</v>
      </c>
      <c r="AN18">
        <v>0.32518346024113998</v>
      </c>
      <c r="AO18">
        <v>1.30459233087311</v>
      </c>
      <c r="AP18">
        <v>-0.48939226315606499</v>
      </c>
      <c r="AQ18">
        <v>-6.58354775459912E-2</v>
      </c>
      <c r="AR18">
        <v>37.722891566264998</v>
      </c>
      <c r="AS18">
        <v>9.3749095780786398E-2</v>
      </c>
      <c r="AT18">
        <v>-7.1142321992814894E-2</v>
      </c>
      <c r="AU18">
        <v>0.77777777777777701</v>
      </c>
      <c r="AV18">
        <v>0.8</v>
      </c>
      <c r="AW18">
        <v>18.410958904109499</v>
      </c>
    </row>
    <row r="19" spans="1:49" x14ac:dyDescent="0.3">
      <c r="A19" t="s">
        <v>41</v>
      </c>
      <c r="B19" t="s">
        <v>42</v>
      </c>
      <c r="C19" s="7">
        <v>38356</v>
      </c>
      <c r="D19" s="7">
        <v>45076</v>
      </c>
      <c r="E19">
        <v>0</v>
      </c>
      <c r="F19">
        <v>10.727658730181</v>
      </c>
      <c r="G19">
        <v>0.14317968766057201</v>
      </c>
      <c r="H19">
        <v>-0.51756292319000796</v>
      </c>
      <c r="I19">
        <v>0.276642087841381</v>
      </c>
      <c r="J19">
        <v>-3.9355820989319799E-2</v>
      </c>
      <c r="K19">
        <v>2.2590620598862798E-2</v>
      </c>
      <c r="L19">
        <v>6.2419391468736297E-2</v>
      </c>
      <c r="M19">
        <v>9.2157331932428699E-2</v>
      </c>
      <c r="N19">
        <v>9.3003127970473901E-2</v>
      </c>
      <c r="O19">
        <v>0.21937810310301301</v>
      </c>
      <c r="P19">
        <v>0.19813659692608199</v>
      </c>
      <c r="Q19">
        <v>0.14162697506581501</v>
      </c>
      <c r="R19">
        <v>0.14317968766057201</v>
      </c>
      <c r="S19">
        <v>0.63980660726328997</v>
      </c>
      <c r="T19">
        <v>1.0648175541379299</v>
      </c>
      <c r="U19">
        <v>0.16125438918526</v>
      </c>
      <c r="V19">
        <v>0.25203614241342398</v>
      </c>
      <c r="W19">
        <v>0.32442678325909302</v>
      </c>
      <c r="X19">
        <v>9.4088812866924698</v>
      </c>
      <c r="Y19">
        <v>0.14862226829589301</v>
      </c>
      <c r="Z19">
        <v>-0.12599495993370799</v>
      </c>
      <c r="AA19">
        <v>0.81363796825166701</v>
      </c>
      <c r="AB19">
        <v>1.5706604420421799</v>
      </c>
      <c r="AC19">
        <v>0.15266148110231501</v>
      </c>
      <c r="AD19">
        <v>0.187628265960046</v>
      </c>
      <c r="AE19">
        <v>5.0476889666577603E-2</v>
      </c>
      <c r="AF19">
        <v>1.2423661821902401</v>
      </c>
      <c r="AG19">
        <v>0.19437215642616701</v>
      </c>
      <c r="AH19">
        <v>-0.198085968484284</v>
      </c>
      <c r="AI19">
        <v>0.72292303810048397</v>
      </c>
      <c r="AJ19">
        <v>1.8086663798701099</v>
      </c>
      <c r="AK19">
        <v>0.15314491998570501</v>
      </c>
      <c r="AL19">
        <v>0.21184124991797401</v>
      </c>
      <c r="AM19">
        <v>-0.47035881661120998</v>
      </c>
      <c r="AN19">
        <v>0.22218482213218399</v>
      </c>
      <c r="AO19">
        <v>0.52053886634318203</v>
      </c>
      <c r="AP19">
        <v>-0.31754538922256598</v>
      </c>
      <c r="AQ19">
        <v>-3.5670600003073601E-2</v>
      </c>
      <c r="AR19">
        <v>32.0885416666666</v>
      </c>
      <c r="AS19">
        <v>4.4545141436416899E-2</v>
      </c>
      <c r="AT19">
        <v>-3.9805910320241E-2</v>
      </c>
      <c r="AU19">
        <v>0.83333333333333304</v>
      </c>
      <c r="AV19">
        <v>0.81428571428571395</v>
      </c>
      <c r="AW19">
        <v>18.410958904109499</v>
      </c>
    </row>
    <row r="20" spans="1:49" x14ac:dyDescent="0.3">
      <c r="A20" t="s">
        <v>43</v>
      </c>
      <c r="B20" t="s">
        <v>44</v>
      </c>
      <c r="C20" s="7">
        <v>38356</v>
      </c>
      <c r="D20" s="7">
        <v>45076</v>
      </c>
      <c r="E20">
        <v>0</v>
      </c>
      <c r="F20">
        <v>16.577475167748101</v>
      </c>
      <c r="G20">
        <v>0.16860225523993799</v>
      </c>
      <c r="H20">
        <v>-0.57941949892432398</v>
      </c>
      <c r="I20">
        <v>0.29098477968543202</v>
      </c>
      <c r="J20">
        <v>8.03034221239316E-2</v>
      </c>
      <c r="K20">
        <v>0.33082363610702398</v>
      </c>
      <c r="L20">
        <v>0.30424642111792299</v>
      </c>
      <c r="M20">
        <v>0.38756326238723798</v>
      </c>
      <c r="N20">
        <v>0.22387477855299101</v>
      </c>
      <c r="O20">
        <v>0.230863534028073</v>
      </c>
      <c r="P20">
        <v>0.28763540564877998</v>
      </c>
      <c r="Q20">
        <v>0.27496957899423402</v>
      </c>
      <c r="R20">
        <v>0.16860225523993799</v>
      </c>
      <c r="S20">
        <v>0.690845141548316</v>
      </c>
      <c r="T20">
        <v>1.1488362811341899</v>
      </c>
      <c r="U20">
        <v>0.18772407630703999</v>
      </c>
      <c r="V20">
        <v>0.27173105087822402</v>
      </c>
      <c r="W20">
        <v>0.27574111066939</v>
      </c>
      <c r="X20">
        <v>10.391026064058099</v>
      </c>
      <c r="Y20">
        <v>0.18604639440040999</v>
      </c>
      <c r="Z20">
        <v>-0.147390457059381</v>
      </c>
      <c r="AA20">
        <v>0.80270250691524503</v>
      </c>
      <c r="AB20">
        <v>1.5706889538070601</v>
      </c>
      <c r="AC20">
        <v>0.184515827224915</v>
      </c>
      <c r="AD20">
        <v>0.22986825833396499</v>
      </c>
      <c r="AE20">
        <v>8.9357111907252998E-2</v>
      </c>
      <c r="AF20">
        <v>0.59354238930548697</v>
      </c>
      <c r="AG20">
        <v>0.24949065324932099</v>
      </c>
      <c r="AH20">
        <v>-0.16335708546348501</v>
      </c>
      <c r="AI20">
        <v>0.73892313751970096</v>
      </c>
      <c r="AJ20">
        <v>1.77440623665605</v>
      </c>
      <c r="AK20">
        <v>0.21221170960012201</v>
      </c>
      <c r="AL20">
        <v>0.28719050578445798</v>
      </c>
      <c r="AM20">
        <v>-0.75508475403140896</v>
      </c>
      <c r="AN20">
        <v>0.24423596384153101</v>
      </c>
      <c r="AO20">
        <v>0.60467174264148404</v>
      </c>
      <c r="AP20">
        <v>-0.44385593802891798</v>
      </c>
      <c r="AQ20">
        <v>-3.6873208842108603E-2</v>
      </c>
      <c r="AR20">
        <v>37.427710843373497</v>
      </c>
      <c r="AS20">
        <v>5.6447787175091003E-2</v>
      </c>
      <c r="AT20">
        <v>-4.9854836504084399E-2</v>
      </c>
      <c r="AU20">
        <v>0.77777777777777701</v>
      </c>
      <c r="AV20">
        <v>0.76666666666666605</v>
      </c>
      <c r="AW20">
        <v>18.410958904109499</v>
      </c>
    </row>
    <row r="21" spans="1:49" x14ac:dyDescent="0.3">
      <c r="A21" t="s">
        <v>45</v>
      </c>
      <c r="B21" t="s">
        <v>46</v>
      </c>
      <c r="C21" s="7">
        <v>38356</v>
      </c>
      <c r="D21" s="7">
        <v>45076</v>
      </c>
      <c r="E21">
        <v>0</v>
      </c>
      <c r="F21">
        <v>24.407988237792999</v>
      </c>
      <c r="G21">
        <v>0.19224057531963901</v>
      </c>
      <c r="H21">
        <v>-0.65294761213999697</v>
      </c>
      <c r="I21">
        <v>0.29441960081542001</v>
      </c>
      <c r="J21">
        <v>0.15213343011164401</v>
      </c>
      <c r="K21">
        <v>0.373195664240214</v>
      </c>
      <c r="L21">
        <v>0.22457669853374901</v>
      </c>
      <c r="M21">
        <v>0.40167735989581099</v>
      </c>
      <c r="N21">
        <v>0.101084885910096</v>
      </c>
      <c r="O21">
        <v>0.19956999894147601</v>
      </c>
      <c r="P21">
        <v>0.18083091086408801</v>
      </c>
      <c r="Q21">
        <v>0.18962329472926201</v>
      </c>
      <c r="R21">
        <v>0.19224057531963901</v>
      </c>
      <c r="S21">
        <v>0.72098899974292796</v>
      </c>
      <c r="T21">
        <v>1.2198128394995</v>
      </c>
      <c r="U21">
        <v>0.214095741204123</v>
      </c>
      <c r="V21">
        <v>0.296947306103782</v>
      </c>
      <c r="W21">
        <v>0.58892196219222404</v>
      </c>
      <c r="X21">
        <v>9.6260929512703708</v>
      </c>
      <c r="Y21">
        <v>0.19991543052188401</v>
      </c>
      <c r="Z21">
        <v>-0.116341494676947</v>
      </c>
      <c r="AA21">
        <v>0.75708718187482005</v>
      </c>
      <c r="AB21">
        <v>1.5226335881422599</v>
      </c>
      <c r="AC21">
        <v>0.21767636667101001</v>
      </c>
      <c r="AD21">
        <v>0.28751823024128498</v>
      </c>
      <c r="AE21">
        <v>0.264449126706369</v>
      </c>
      <c r="AF21">
        <v>0.62722855316931903</v>
      </c>
      <c r="AG21">
        <v>0.30381187752607097</v>
      </c>
      <c r="AH21">
        <v>-0.184773024178466</v>
      </c>
      <c r="AI21">
        <v>0.56190819838352302</v>
      </c>
      <c r="AJ21">
        <v>1.3697408613013899</v>
      </c>
      <c r="AK21">
        <v>0.21126515210383101</v>
      </c>
      <c r="AL21">
        <v>0.37597805604472601</v>
      </c>
      <c r="AM21">
        <v>-2.1100372711846699E-2</v>
      </c>
      <c r="AN21">
        <v>0.48914733147249301</v>
      </c>
      <c r="AO21">
        <v>1.0152120672870599</v>
      </c>
      <c r="AP21">
        <v>-0.55508474622976101</v>
      </c>
      <c r="AQ21">
        <v>-4.2444699235794602E-2</v>
      </c>
      <c r="AR21">
        <v>40.6601307189542</v>
      </c>
      <c r="AS21">
        <v>6.9434277814522299E-2</v>
      </c>
      <c r="AT21">
        <v>-5.88021736653229E-2</v>
      </c>
      <c r="AU21">
        <v>0.72222222222222199</v>
      </c>
      <c r="AV21">
        <v>0.78095238095238095</v>
      </c>
      <c r="AW21">
        <v>18.410958904109499</v>
      </c>
    </row>
    <row r="22" spans="1:49" x14ac:dyDescent="0.3">
      <c r="A22" t="s">
        <v>47</v>
      </c>
      <c r="B22" t="s">
        <v>48</v>
      </c>
      <c r="C22" s="7">
        <v>40359</v>
      </c>
      <c r="D22" s="7">
        <v>45076</v>
      </c>
      <c r="E22">
        <v>0</v>
      </c>
      <c r="F22">
        <v>125.62187810115</v>
      </c>
      <c r="G22">
        <v>0.454798715384998</v>
      </c>
      <c r="H22">
        <v>-0.73632217442191195</v>
      </c>
      <c r="I22">
        <v>0.61766266341504805</v>
      </c>
      <c r="J22">
        <v>0.22427123517164399</v>
      </c>
      <c r="K22">
        <v>-2.21185304713282E-2</v>
      </c>
      <c r="L22">
        <v>3.3179285131600102E-2</v>
      </c>
      <c r="M22">
        <v>0.63305734018298399</v>
      </c>
      <c r="N22">
        <v>-0.205560608473801</v>
      </c>
      <c r="O22">
        <v>0.49926176587857202</v>
      </c>
      <c r="P22">
        <v>0.59573629021316299</v>
      </c>
      <c r="Q22">
        <v>0.39921681036404899</v>
      </c>
      <c r="R22">
        <v>0.454798715384998</v>
      </c>
      <c r="S22">
        <v>0.92472990231645402</v>
      </c>
      <c r="T22">
        <v>1.59728066672744</v>
      </c>
      <c r="U22">
        <v>0.52095115525869595</v>
      </c>
      <c r="V22">
        <v>0.56335493634812694</v>
      </c>
      <c r="W22">
        <v>0.33494712643012597</v>
      </c>
      <c r="X22">
        <v>5.2508731196605503</v>
      </c>
      <c r="Y22">
        <v>0.243950758246163</v>
      </c>
      <c r="Z22">
        <v>-0.21062824320390799</v>
      </c>
      <c r="AA22">
        <v>0.86894841240920995</v>
      </c>
      <c r="AB22">
        <v>2.3647149737284598</v>
      </c>
      <c r="AC22">
        <v>0.56046146031348698</v>
      </c>
      <c r="AD22">
        <v>0.64498818607605801</v>
      </c>
      <c r="AE22">
        <v>1.2627893207832901</v>
      </c>
      <c r="AF22">
        <v>2.68021479120512</v>
      </c>
      <c r="AG22">
        <v>0.81070574576677101</v>
      </c>
      <c r="AH22">
        <v>-0.36733434907078399</v>
      </c>
      <c r="AI22">
        <v>0.45716411206635899</v>
      </c>
      <c r="AJ22">
        <v>5.4774470223573797</v>
      </c>
      <c r="AK22">
        <v>0.98810298386965201</v>
      </c>
      <c r="AL22">
        <v>2.1613747837805399</v>
      </c>
      <c r="AM22">
        <v>2.6654303076122199</v>
      </c>
      <c r="AN22">
        <v>7.28500912877257</v>
      </c>
      <c r="AO22">
        <v>7.4343699460794301</v>
      </c>
      <c r="AP22">
        <v>-0.65031511698664501</v>
      </c>
      <c r="AQ22">
        <v>-0.100452409979394</v>
      </c>
      <c r="AR22">
        <v>58.194805194805198</v>
      </c>
      <c r="AS22">
        <v>0.17277714973503699</v>
      </c>
      <c r="AT22">
        <v>-9.4910033094390403E-2</v>
      </c>
      <c r="AU22">
        <v>0.84615384615384603</v>
      </c>
      <c r="AV22">
        <v>0.68965517241379304</v>
      </c>
      <c r="AW22">
        <v>12.923287671232799</v>
      </c>
    </row>
    <row r="23" spans="1:49" x14ac:dyDescent="0.3">
      <c r="A23" t="s">
        <v>49</v>
      </c>
      <c r="B23" t="s">
        <v>49</v>
      </c>
      <c r="C23" s="7">
        <v>38356</v>
      </c>
      <c r="D23" s="7">
        <v>45076</v>
      </c>
      <c r="E23">
        <v>0</v>
      </c>
      <c r="F23">
        <v>67.237591458728502</v>
      </c>
      <c r="G23">
        <v>0.25801001948116697</v>
      </c>
      <c r="H23">
        <v>-0.64119303232546399</v>
      </c>
      <c r="I23">
        <v>0.40239055397314899</v>
      </c>
      <c r="J23">
        <v>0.14682823756288799</v>
      </c>
      <c r="K23">
        <v>0.18234348491423</v>
      </c>
      <c r="L23">
        <v>0.20366670173885701</v>
      </c>
      <c r="M23">
        <v>0.33962979737499299</v>
      </c>
      <c r="N23">
        <v>0.26151294070256298</v>
      </c>
      <c r="O23">
        <v>0.31909978405001799</v>
      </c>
      <c r="P23">
        <v>0.311378412025417</v>
      </c>
      <c r="Q23">
        <v>0.25370622624587902</v>
      </c>
      <c r="R23">
        <v>0.25801001948116697</v>
      </c>
      <c r="S23">
        <v>0.79505545518722798</v>
      </c>
      <c r="T23">
        <v>1.3763094230116999</v>
      </c>
      <c r="U23">
        <v>0.28689597681442403</v>
      </c>
      <c r="V23">
        <v>0.360850271440327</v>
      </c>
      <c r="W23">
        <v>0.65315349791161104</v>
      </c>
      <c r="X23">
        <v>11.296979184965901</v>
      </c>
      <c r="Y23">
        <v>0.31827761013632</v>
      </c>
      <c r="Z23">
        <v>-0.173491745119429</v>
      </c>
      <c r="AA23">
        <v>0.855456624024029</v>
      </c>
      <c r="AB23">
        <v>1.7897661579188999</v>
      </c>
      <c r="AC23">
        <v>0.28037499176904801</v>
      </c>
      <c r="AD23">
        <v>0.32774892834446301</v>
      </c>
      <c r="AE23">
        <v>0.27935163680067798</v>
      </c>
      <c r="AF23">
        <v>1.09706086666992</v>
      </c>
      <c r="AG23">
        <v>0.42316289303305399</v>
      </c>
      <c r="AH23">
        <v>-0.25539093676779101</v>
      </c>
      <c r="AI23">
        <v>0.75594932489672195</v>
      </c>
      <c r="AJ23">
        <v>2.5795160765531402</v>
      </c>
      <c r="AK23">
        <v>0.31213451149621602</v>
      </c>
      <c r="AL23">
        <v>0.41290401514527397</v>
      </c>
      <c r="AM23">
        <v>-1.5932205979129401E-3</v>
      </c>
      <c r="AN23">
        <v>-0.76733205657058801</v>
      </c>
      <c r="AO23">
        <v>0.94943467639063095</v>
      </c>
      <c r="AP23">
        <v>-0.41421090986782899</v>
      </c>
      <c r="AQ23">
        <v>-5.00159320433506E-2</v>
      </c>
      <c r="AR23">
        <v>31.968911917098399</v>
      </c>
      <c r="AS23">
        <v>8.6963317315338504E-2</v>
      </c>
      <c r="AT23">
        <v>-6.0317962968260697E-2</v>
      </c>
      <c r="AU23">
        <v>0.77777777777777701</v>
      </c>
      <c r="AV23">
        <v>0.77619047619047599</v>
      </c>
      <c r="AW23">
        <v>18.410958904109499</v>
      </c>
    </row>
    <row r="24" spans="1:49" x14ac:dyDescent="0.3">
      <c r="A24" t="s">
        <v>50</v>
      </c>
      <c r="B24" t="s">
        <v>51</v>
      </c>
      <c r="C24" s="7">
        <v>38356</v>
      </c>
      <c r="D24" s="7">
        <v>45076</v>
      </c>
      <c r="E24">
        <v>0</v>
      </c>
      <c r="F24">
        <v>232.44793574988299</v>
      </c>
      <c r="G24">
        <v>0.34498509617918099</v>
      </c>
      <c r="H24">
        <v>-0.85078395187572997</v>
      </c>
      <c r="I24">
        <v>0.40549083632641397</v>
      </c>
      <c r="J24">
        <v>0.44549352938019399</v>
      </c>
      <c r="K24">
        <v>0.72802426254518304</v>
      </c>
      <c r="L24">
        <v>1.37060868947279</v>
      </c>
      <c r="M24">
        <v>1.7451628348739301</v>
      </c>
      <c r="N24">
        <v>1.13430898116391</v>
      </c>
      <c r="O24">
        <v>0.66143187960488203</v>
      </c>
      <c r="P24">
        <v>0.449619367370995</v>
      </c>
      <c r="Q24">
        <v>0.61066832985532704</v>
      </c>
      <c r="R24">
        <v>0.34498509617918099</v>
      </c>
      <c r="S24">
        <v>0.838669445373453</v>
      </c>
      <c r="T24">
        <v>1.4220976414496</v>
      </c>
      <c r="U24">
        <v>0.40180054784734198</v>
      </c>
      <c r="V24">
        <v>0.47909286556686598</v>
      </c>
      <c r="W24">
        <v>0.19222443094535799</v>
      </c>
      <c r="X24">
        <v>8.4465275828231992</v>
      </c>
      <c r="Y24">
        <v>0.29806723668331198</v>
      </c>
      <c r="Z24">
        <v>-0.30726556602316102</v>
      </c>
      <c r="AA24">
        <v>0.85506003764285998</v>
      </c>
      <c r="AB24">
        <v>1.6963718129483201</v>
      </c>
      <c r="AC24">
        <v>0.41459490366868801</v>
      </c>
      <c r="AD24">
        <v>0.484872272608599</v>
      </c>
      <c r="AE24">
        <v>0.203650021058221</v>
      </c>
      <c r="AF24">
        <v>1.01534124999653</v>
      </c>
      <c r="AG24">
        <v>0.55324651519755996</v>
      </c>
      <c r="AH24">
        <v>-0.38888866681234902</v>
      </c>
      <c r="AI24">
        <v>0.68720889848672895</v>
      </c>
      <c r="AJ24">
        <v>2.6435783746933201</v>
      </c>
      <c r="AK24">
        <v>0.562304229493511</v>
      </c>
      <c r="AL24">
        <v>0.81824352206692197</v>
      </c>
      <c r="AM24">
        <v>0.31074335847589102</v>
      </c>
      <c r="AN24">
        <v>-0.45333375888904798</v>
      </c>
      <c r="AO24">
        <v>2.2696039912114401</v>
      </c>
      <c r="AP24">
        <v>-0.76278666163851105</v>
      </c>
      <c r="AQ24">
        <v>-6.4495879180037699E-2</v>
      </c>
      <c r="AR24">
        <v>44.735714285714202</v>
      </c>
      <c r="AS24">
        <v>0.114016808360394</v>
      </c>
      <c r="AT24">
        <v>-9.9187963249696295E-2</v>
      </c>
      <c r="AU24">
        <v>0.66666666666666596</v>
      </c>
      <c r="AV24">
        <v>0.72380952380952301</v>
      </c>
      <c r="AW24">
        <v>18.410958904109499</v>
      </c>
    </row>
    <row r="25" spans="1:49" x14ac:dyDescent="0.3">
      <c r="A25" t="s">
        <v>52</v>
      </c>
      <c r="B25" t="s">
        <v>53</v>
      </c>
      <c r="C25" s="7">
        <v>38356</v>
      </c>
      <c r="D25" s="7">
        <v>45076</v>
      </c>
      <c r="E25">
        <v>0</v>
      </c>
      <c r="F25">
        <v>56.740862441539598</v>
      </c>
      <c r="G25">
        <v>0.24664079262265301</v>
      </c>
      <c r="H25">
        <v>-0.65254908769537801</v>
      </c>
      <c r="I25">
        <v>0.37796511752659001</v>
      </c>
      <c r="J25">
        <v>0.153722211313324</v>
      </c>
      <c r="K25">
        <v>0.29109624671532303</v>
      </c>
      <c r="L25">
        <v>0.26020305063558102</v>
      </c>
      <c r="M25">
        <v>0.44833337692987202</v>
      </c>
      <c r="N25">
        <v>5.6567104072080099E-2</v>
      </c>
      <c r="O25">
        <v>-5.1436139367494402E-3</v>
      </c>
      <c r="P25">
        <v>8.41155491422651E-2</v>
      </c>
      <c r="Q25">
        <v>0.247404936065442</v>
      </c>
      <c r="R25">
        <v>0.24664079262265301</v>
      </c>
      <c r="S25">
        <v>0.75033240559595704</v>
      </c>
      <c r="T25">
        <v>1.3044061026326701</v>
      </c>
      <c r="U25">
        <v>0.28468023545701499</v>
      </c>
      <c r="V25">
        <v>0.37940549193114698</v>
      </c>
      <c r="W25">
        <v>0.927900507048256</v>
      </c>
      <c r="X25">
        <v>15.721730154271301</v>
      </c>
      <c r="Y25">
        <v>0.26949728575759302</v>
      </c>
      <c r="Z25">
        <v>-0.21821972227748701</v>
      </c>
      <c r="AA25">
        <v>0.77901049117928201</v>
      </c>
      <c r="AB25">
        <v>1.61882695546348</v>
      </c>
      <c r="AC25">
        <v>0.286923050839265</v>
      </c>
      <c r="AD25">
        <v>0.36831731290924602</v>
      </c>
      <c r="AE25">
        <v>0.55167077664018704</v>
      </c>
      <c r="AF25">
        <v>2.69858624740445</v>
      </c>
      <c r="AG25">
        <v>0.54134198439032299</v>
      </c>
      <c r="AH25">
        <v>-0.30480872025191902</v>
      </c>
      <c r="AI25">
        <v>0.622301178036613</v>
      </c>
      <c r="AJ25">
        <v>2.3275407603858298</v>
      </c>
      <c r="AK25">
        <v>0.365457246717933</v>
      </c>
      <c r="AL25">
        <v>0.58726748336065704</v>
      </c>
      <c r="AM25">
        <v>0.62257567274947101</v>
      </c>
      <c r="AN25">
        <v>-3.4241108350396799E-4</v>
      </c>
      <c r="AO25">
        <v>1.62324497556534</v>
      </c>
      <c r="AP25">
        <v>-0.49615214765926802</v>
      </c>
      <c r="AQ25">
        <v>-5.9589112576530497E-2</v>
      </c>
      <c r="AR25">
        <v>41.0263157894736</v>
      </c>
      <c r="AS25">
        <v>8.9850130023314906E-2</v>
      </c>
      <c r="AT25">
        <v>-6.9564954296202505E-2</v>
      </c>
      <c r="AU25">
        <v>0.72222222222222199</v>
      </c>
      <c r="AV25">
        <v>0.79047619047619</v>
      </c>
      <c r="AW25">
        <v>18.410958904109499</v>
      </c>
    </row>
    <row r="26" spans="1:49" x14ac:dyDescent="0.3">
      <c r="A26" t="s">
        <v>54</v>
      </c>
      <c r="B26" t="s">
        <v>55</v>
      </c>
      <c r="C26" s="7">
        <v>38356</v>
      </c>
      <c r="D26" s="7">
        <v>45076</v>
      </c>
      <c r="E26">
        <v>0</v>
      </c>
      <c r="F26">
        <v>20.653110423301602</v>
      </c>
      <c r="G26">
        <v>0.181922785174537</v>
      </c>
      <c r="H26">
        <v>-0.54746168099810499</v>
      </c>
      <c r="I26">
        <v>0.33230231720120501</v>
      </c>
      <c r="J26">
        <v>-3.5591274397244098E-2</v>
      </c>
      <c r="K26">
        <v>7.2965549243699995E-2</v>
      </c>
      <c r="L26">
        <v>0.156042406768579</v>
      </c>
      <c r="M26">
        <v>0.24513866509412699</v>
      </c>
      <c r="N26">
        <v>0.400509605189796</v>
      </c>
      <c r="O26">
        <v>0.325612527166111</v>
      </c>
      <c r="P26">
        <v>0.250092846450439</v>
      </c>
      <c r="Q26">
        <v>0.22068661372785001</v>
      </c>
      <c r="R26">
        <v>0.181922785174537</v>
      </c>
      <c r="S26">
        <v>0.718533032237759</v>
      </c>
      <c r="T26">
        <v>1.2224598620112299</v>
      </c>
      <c r="U26">
        <v>0.200826758707044</v>
      </c>
      <c r="V26">
        <v>0.27949551335392397</v>
      </c>
      <c r="W26">
        <v>0.23087802048473999</v>
      </c>
      <c r="X26">
        <v>5.0130525765128198</v>
      </c>
      <c r="Y26">
        <v>0.12905115269953299</v>
      </c>
      <c r="Z26">
        <v>-0.11246331353568299</v>
      </c>
      <c r="AA26">
        <v>0.85473620829444696</v>
      </c>
      <c r="AB26">
        <v>1.6874603366883101</v>
      </c>
      <c r="AC26">
        <v>0.19839758920709599</v>
      </c>
      <c r="AD26">
        <v>0.23211557821211501</v>
      </c>
      <c r="AE26">
        <v>9.0664226417273397E-2</v>
      </c>
      <c r="AF26">
        <v>0.682103504084276</v>
      </c>
      <c r="AG26">
        <v>0.21357545343699499</v>
      </c>
      <c r="AH26">
        <v>-0.17114234726661001</v>
      </c>
      <c r="AI26">
        <v>0.71141963464242197</v>
      </c>
      <c r="AJ26">
        <v>2.0746257967245998</v>
      </c>
      <c r="AK26">
        <v>0.19985318086693599</v>
      </c>
      <c r="AL26">
        <v>0.28092165458349699</v>
      </c>
      <c r="AM26">
        <v>-8.8795733448437698E-3</v>
      </c>
      <c r="AN26">
        <v>2.6283818026327399E-2</v>
      </c>
      <c r="AO26">
        <v>0.68338957362863095</v>
      </c>
      <c r="AP26">
        <v>-0.40453147594852301</v>
      </c>
      <c r="AQ26">
        <v>-3.8600814171152097E-2</v>
      </c>
      <c r="AR26">
        <v>32.680851063829699</v>
      </c>
      <c r="AS26">
        <v>5.5170999938691699E-2</v>
      </c>
      <c r="AT26">
        <v>-4.9771356247095298E-2</v>
      </c>
      <c r="AU26">
        <v>0.77777777777777701</v>
      </c>
      <c r="AV26">
        <v>0.79047619047619</v>
      </c>
      <c r="AW26">
        <v>18.410958904109499</v>
      </c>
    </row>
    <row r="27" spans="1:49" x14ac:dyDescent="0.3">
      <c r="A27" t="s">
        <v>56</v>
      </c>
      <c r="B27" t="s">
        <v>57</v>
      </c>
      <c r="C27" s="7">
        <v>38356</v>
      </c>
      <c r="D27" s="7">
        <v>45076</v>
      </c>
      <c r="E27">
        <v>0</v>
      </c>
      <c r="F27">
        <v>8.1313476652211101</v>
      </c>
      <c r="G27">
        <v>0.12773651710217501</v>
      </c>
      <c r="H27">
        <v>-0.58251959816608501</v>
      </c>
      <c r="I27">
        <v>0.21928278036365001</v>
      </c>
      <c r="J27">
        <v>0.02</v>
      </c>
      <c r="K27">
        <v>3.4482758620689002E-2</v>
      </c>
      <c r="L27">
        <v>8.0508474576269806E-2</v>
      </c>
      <c r="M27">
        <v>3.1344792719917899E-2</v>
      </c>
      <c r="N27">
        <v>0.19727272785889499</v>
      </c>
      <c r="O27">
        <v>0.21869618203751801</v>
      </c>
      <c r="P27">
        <v>7.0770442114926793E-2</v>
      </c>
      <c r="Q27">
        <v>0.109836850073964</v>
      </c>
      <c r="R27">
        <v>0.12773651710217501</v>
      </c>
      <c r="S27">
        <v>0.63822119761450802</v>
      </c>
      <c r="T27">
        <v>1.0129161627294101</v>
      </c>
      <c r="U27">
        <v>0.14080867132804301</v>
      </c>
      <c r="V27">
        <v>0.220626754257532</v>
      </c>
      <c r="W27">
        <v>-0.22421125101912401</v>
      </c>
      <c r="X27">
        <v>10.2873898191388</v>
      </c>
      <c r="Y27">
        <v>0.12595411729119799</v>
      </c>
      <c r="Z27">
        <v>-0.117647099649191</v>
      </c>
      <c r="AA27">
        <v>0.69322559225151503</v>
      </c>
      <c r="AB27">
        <v>1.30503872254193</v>
      </c>
      <c r="AC27">
        <v>0.13611108732666399</v>
      </c>
      <c r="AD27">
        <v>0.19634457938084901</v>
      </c>
      <c r="AE27">
        <v>9.0962686456613304E-2</v>
      </c>
      <c r="AF27">
        <v>1.31396839409505</v>
      </c>
      <c r="AG27">
        <v>0.22839505273691499</v>
      </c>
      <c r="AH27">
        <v>-0.15714290008433299</v>
      </c>
      <c r="AI27">
        <v>0.53951678141596104</v>
      </c>
      <c r="AJ27">
        <v>1.4156359785819099</v>
      </c>
      <c r="AK27">
        <v>0.12792760452070301</v>
      </c>
      <c r="AL27">
        <v>0.23711515364722599</v>
      </c>
      <c r="AM27">
        <v>0.85310351550127705</v>
      </c>
      <c r="AN27">
        <v>2.8998925423382</v>
      </c>
      <c r="AO27">
        <v>0.76451177750330002</v>
      </c>
      <c r="AP27">
        <v>-0.362934339825083</v>
      </c>
      <c r="AQ27">
        <v>-4.13538317689486E-2</v>
      </c>
      <c r="AR27">
        <v>50.362903225806399</v>
      </c>
      <c r="AS27">
        <v>4.5388106562872399E-2</v>
      </c>
      <c r="AT27">
        <v>-3.9725683317920299E-2</v>
      </c>
      <c r="AU27">
        <v>0.88888888888888795</v>
      </c>
      <c r="AV27">
        <v>0.72857142857142798</v>
      </c>
      <c r="AW27">
        <v>18.410958904109499</v>
      </c>
    </row>
    <row r="28" spans="1:49" x14ac:dyDescent="0.3">
      <c r="A28" t="s">
        <v>58</v>
      </c>
      <c r="B28" t="s">
        <v>59</v>
      </c>
      <c r="C28" s="7">
        <v>38356</v>
      </c>
      <c r="D28" s="7">
        <v>45076</v>
      </c>
      <c r="E28">
        <v>0</v>
      </c>
      <c r="F28">
        <v>9.6414522262087203</v>
      </c>
      <c r="G28">
        <v>0.137156530521368</v>
      </c>
      <c r="H28">
        <v>-0.62104277939555996</v>
      </c>
      <c r="I28">
        <v>0.22084876448424101</v>
      </c>
      <c r="J28">
        <v>-0.21950535671798599</v>
      </c>
      <c r="K28">
        <v>-0.207720099798052</v>
      </c>
      <c r="L28">
        <v>-0.181098895432103</v>
      </c>
      <c r="M28">
        <v>-0.22176181000044401</v>
      </c>
      <c r="N28">
        <v>-0.22923378127852101</v>
      </c>
      <c r="O28">
        <v>-5.3839836374672797E-3</v>
      </c>
      <c r="P28">
        <v>5.8464198154676003E-2</v>
      </c>
      <c r="Q28">
        <v>0.118821815949962</v>
      </c>
      <c r="R28">
        <v>0.137156530521368</v>
      </c>
      <c r="S28">
        <v>0.56882255516063696</v>
      </c>
      <c r="T28">
        <v>0.94194754725254803</v>
      </c>
      <c r="U28">
        <v>0.16782206963228899</v>
      </c>
      <c r="V28">
        <v>0.295034133421267</v>
      </c>
      <c r="W28">
        <v>0.44143100233779897</v>
      </c>
      <c r="X28">
        <v>12.494904256333299</v>
      </c>
      <c r="Y28">
        <v>0.184709558724448</v>
      </c>
      <c r="Z28">
        <v>-0.173395317287734</v>
      </c>
      <c r="AA28">
        <v>0.61427994529257701</v>
      </c>
      <c r="AB28">
        <v>1.06552669637625</v>
      </c>
      <c r="AC28">
        <v>0.16594894520626499</v>
      </c>
      <c r="AD28">
        <v>0.27015198278567398</v>
      </c>
      <c r="AE28">
        <v>-0.33081800554054303</v>
      </c>
      <c r="AF28">
        <v>1.06612605761858</v>
      </c>
      <c r="AG28">
        <v>0.21298209657830999</v>
      </c>
      <c r="AH28">
        <v>-0.277900138131153</v>
      </c>
      <c r="AI28">
        <v>0.62657568193313296</v>
      </c>
      <c r="AJ28">
        <v>1.87689223309418</v>
      </c>
      <c r="AK28">
        <v>0.20077624049631901</v>
      </c>
      <c r="AL28">
        <v>0.32043414113499802</v>
      </c>
      <c r="AM28">
        <v>-1.45094160614386E-2</v>
      </c>
      <c r="AN28">
        <v>-0.96748731901948604</v>
      </c>
      <c r="AO28">
        <v>0.68684596012962795</v>
      </c>
      <c r="AP28">
        <v>-0.32312565228328299</v>
      </c>
      <c r="AQ28">
        <v>-4.1276253141224503E-2</v>
      </c>
      <c r="AR28">
        <v>32.368421052631497</v>
      </c>
      <c r="AS28">
        <v>5.9795517644811599E-2</v>
      </c>
      <c r="AT28">
        <v>-5.77930469258515E-2</v>
      </c>
      <c r="AU28">
        <v>0.77777777777777701</v>
      </c>
      <c r="AV28">
        <v>0.76190476190476097</v>
      </c>
      <c r="AW28">
        <v>18.410958904109499</v>
      </c>
    </row>
    <row r="29" spans="1:49" x14ac:dyDescent="0.3">
      <c r="A29" t="s">
        <v>60</v>
      </c>
      <c r="B29" t="s">
        <v>61</v>
      </c>
      <c r="C29" s="7">
        <v>38356</v>
      </c>
      <c r="D29" s="7">
        <v>45076</v>
      </c>
      <c r="E29">
        <v>0</v>
      </c>
      <c r="F29">
        <v>13.389071064551899</v>
      </c>
      <c r="G29">
        <v>0.15595833886022201</v>
      </c>
      <c r="H29">
        <v>-0.66305199100396806</v>
      </c>
      <c r="I29">
        <v>0.23521283545815999</v>
      </c>
      <c r="J29">
        <v>8.8428735591423904E-2</v>
      </c>
      <c r="K29">
        <v>-0.204760688763927</v>
      </c>
      <c r="L29">
        <v>-0.27134020093876299</v>
      </c>
      <c r="M29">
        <v>-6.7429189922022098E-2</v>
      </c>
      <c r="N29">
        <v>-0.25019418065625099</v>
      </c>
      <c r="O29">
        <v>0.39028918705448201</v>
      </c>
      <c r="P29">
        <v>0.18129453651872901</v>
      </c>
      <c r="Q29">
        <v>0.12967343423814301</v>
      </c>
      <c r="R29">
        <v>0.15595833886022201</v>
      </c>
      <c r="S29">
        <v>0.55807482420775101</v>
      </c>
      <c r="T29">
        <v>0.88950708702722503</v>
      </c>
      <c r="U29">
        <v>0.214897514843399</v>
      </c>
      <c r="V29">
        <v>0.38506935902093398</v>
      </c>
      <c r="W29">
        <v>-0.25351994179116599</v>
      </c>
      <c r="X29">
        <v>5.62348619358119</v>
      </c>
      <c r="Y29">
        <v>0.147045756463135</v>
      </c>
      <c r="Z29">
        <v>-0.19910565742267</v>
      </c>
      <c r="AA29">
        <v>0.58289092840904999</v>
      </c>
      <c r="AB29">
        <v>1.10359615324675</v>
      </c>
      <c r="AC29">
        <v>0.21500523503930499</v>
      </c>
      <c r="AD29">
        <v>0.36886014957574098</v>
      </c>
      <c r="AE29">
        <v>0.30420764014172402</v>
      </c>
      <c r="AF29">
        <v>1.6864829716674901</v>
      </c>
      <c r="AG29">
        <v>0.45874902535515799</v>
      </c>
      <c r="AH29">
        <v>-0.307496085299517</v>
      </c>
      <c r="AI29">
        <v>0.53229602841198398</v>
      </c>
      <c r="AJ29">
        <v>1.71652185743506</v>
      </c>
      <c r="AK29">
        <v>0.227438535381526</v>
      </c>
      <c r="AL29">
        <v>0.42727828734708201</v>
      </c>
      <c r="AM29">
        <v>0.34346760011775801</v>
      </c>
      <c r="AN29">
        <v>-0.72772283144750605</v>
      </c>
      <c r="AO29">
        <v>1.0538512058781699</v>
      </c>
      <c r="AP29">
        <v>-0.45107318386601097</v>
      </c>
      <c r="AQ29">
        <v>-5.95044485668152E-2</v>
      </c>
      <c r="AR29">
        <v>50.507936507936499</v>
      </c>
      <c r="AS29">
        <v>8.1974115235837294E-2</v>
      </c>
      <c r="AT29">
        <v>-7.8168415553900694E-2</v>
      </c>
      <c r="AU29">
        <v>0.55555555555555503</v>
      </c>
      <c r="AV29">
        <v>0.64761904761904698</v>
      </c>
      <c r="AW29">
        <v>18.410958904109499</v>
      </c>
    </row>
    <row r="30" spans="1:49" x14ac:dyDescent="0.3">
      <c r="A30" t="s">
        <v>62</v>
      </c>
      <c r="B30" t="s">
        <v>63</v>
      </c>
      <c r="C30" s="7">
        <v>38356</v>
      </c>
      <c r="D30" s="7">
        <v>45076</v>
      </c>
      <c r="E30">
        <v>0</v>
      </c>
      <c r="F30">
        <v>13.194109360311399</v>
      </c>
      <c r="G30">
        <v>0.155101542471763</v>
      </c>
      <c r="H30">
        <v>-0.73272575333141299</v>
      </c>
      <c r="I30">
        <v>0.21167748201367001</v>
      </c>
      <c r="J30">
        <v>-7.2456443910083601E-2</v>
      </c>
      <c r="K30">
        <v>-0.161036687545378</v>
      </c>
      <c r="L30">
        <v>-0.20020209622626101</v>
      </c>
      <c r="M30">
        <v>-0.17966469581508801</v>
      </c>
      <c r="N30">
        <v>-1.54269243465098E-2</v>
      </c>
      <c r="O30">
        <v>0.34758316693841301</v>
      </c>
      <c r="P30">
        <v>0.19540005190913101</v>
      </c>
      <c r="Q30">
        <v>0.172347261790325</v>
      </c>
      <c r="R30">
        <v>0.155101542471763</v>
      </c>
      <c r="S30">
        <v>0.59235267285099502</v>
      </c>
      <c r="T30">
        <v>0.95485538817410098</v>
      </c>
      <c r="U30">
        <v>0.19268471398898401</v>
      </c>
      <c r="V30">
        <v>0.325287152097402</v>
      </c>
      <c r="W30">
        <v>-0.12737846847766099</v>
      </c>
      <c r="X30">
        <v>6.9734134829111598</v>
      </c>
      <c r="Y30">
        <v>0.15692371147104001</v>
      </c>
      <c r="Z30">
        <v>-0.14211673629761401</v>
      </c>
      <c r="AA30">
        <v>0.65772526728255498</v>
      </c>
      <c r="AB30">
        <v>1.2143401052960201</v>
      </c>
      <c r="AC30">
        <v>0.187732729561817</v>
      </c>
      <c r="AD30">
        <v>0.28542727321005901</v>
      </c>
      <c r="AE30">
        <v>-0.165102796622001</v>
      </c>
      <c r="AF30">
        <v>0.940975163598608</v>
      </c>
      <c r="AG30">
        <v>0.25524812585404999</v>
      </c>
      <c r="AH30">
        <v>-0.29515218452664999</v>
      </c>
      <c r="AI30">
        <v>0.60983784528904394</v>
      </c>
      <c r="AJ30">
        <v>1.56207458813367</v>
      </c>
      <c r="AK30">
        <v>0.219108448056377</v>
      </c>
      <c r="AL30">
        <v>0.359289686182933</v>
      </c>
      <c r="AM30">
        <v>-8.4595918746939003E-2</v>
      </c>
      <c r="AN30">
        <v>0.67852310363842405</v>
      </c>
      <c r="AO30">
        <v>0.98647513879002502</v>
      </c>
      <c r="AP30">
        <v>-0.58056251044072604</v>
      </c>
      <c r="AQ30">
        <v>-5.1998629637076799E-2</v>
      </c>
      <c r="AR30">
        <v>46.375</v>
      </c>
      <c r="AS30">
        <v>7.16941952931196E-2</v>
      </c>
      <c r="AT30">
        <v>-5.4131888950278297E-2</v>
      </c>
      <c r="AU30">
        <v>0.66666666666666596</v>
      </c>
      <c r="AV30">
        <v>0.76190476190476097</v>
      </c>
      <c r="AW30">
        <v>18.410958904109499</v>
      </c>
    </row>
    <row r="31" spans="1:49" x14ac:dyDescent="0.3">
      <c r="A31" t="s">
        <v>64</v>
      </c>
      <c r="B31" t="s">
        <v>65</v>
      </c>
      <c r="C31" s="7">
        <v>38356</v>
      </c>
      <c r="D31" s="7">
        <v>45076</v>
      </c>
      <c r="E31">
        <v>0</v>
      </c>
      <c r="F31">
        <v>7.5174609445495104</v>
      </c>
      <c r="G31">
        <v>0.123478714343125</v>
      </c>
      <c r="H31">
        <v>-0.61839235767795298</v>
      </c>
      <c r="I31">
        <v>0.19967697338108301</v>
      </c>
      <c r="J31">
        <v>-3.2798577587068903E-2</v>
      </c>
      <c r="K31">
        <v>3.4237915250404802E-2</v>
      </c>
      <c r="L31">
        <v>0.154338756521995</v>
      </c>
      <c r="M31">
        <v>0.195543067742323</v>
      </c>
      <c r="N31">
        <v>0.22919261523454099</v>
      </c>
      <c r="O31">
        <v>0.12888372426817299</v>
      </c>
      <c r="P31">
        <v>8.6950271284489095E-2</v>
      </c>
      <c r="Q31">
        <v>0.140314785324481</v>
      </c>
      <c r="R31">
        <v>0.123478714343125</v>
      </c>
      <c r="S31">
        <v>0.52992095567737396</v>
      </c>
      <c r="T31">
        <v>0.88135542292510305</v>
      </c>
      <c r="U31">
        <v>0.15587676846186099</v>
      </c>
      <c r="V31">
        <v>0.29415098005062001</v>
      </c>
      <c r="W31">
        <v>0.37567229266050001</v>
      </c>
      <c r="X31">
        <v>12.195726703567701</v>
      </c>
      <c r="Y31">
        <v>0.18846907668104501</v>
      </c>
      <c r="Z31">
        <v>-0.17074437254472899</v>
      </c>
      <c r="AA31">
        <v>0.60429122820275105</v>
      </c>
      <c r="AB31">
        <v>1.1456819001849201</v>
      </c>
      <c r="AC31">
        <v>0.138887454314993</v>
      </c>
      <c r="AD31">
        <v>0.22983529767272001</v>
      </c>
      <c r="AE31">
        <v>9.7597466311841005E-2</v>
      </c>
      <c r="AF31">
        <v>0.90330862743244</v>
      </c>
      <c r="AG31">
        <v>0.260690019361486</v>
      </c>
      <c r="AH31">
        <v>-0.194713970401105</v>
      </c>
      <c r="AI31">
        <v>0.54702958979735605</v>
      </c>
      <c r="AJ31">
        <v>1.2680630104589901</v>
      </c>
      <c r="AK31">
        <v>0.12670843729696801</v>
      </c>
      <c r="AL31">
        <v>0.23162995139605999</v>
      </c>
      <c r="AM31">
        <v>-0.48040986291312099</v>
      </c>
      <c r="AN31">
        <v>-0.37614019491517803</v>
      </c>
      <c r="AO31">
        <v>0.415723909964614</v>
      </c>
      <c r="AP31">
        <v>-0.38369461891554202</v>
      </c>
      <c r="AQ31">
        <v>-3.3916602376983601E-2</v>
      </c>
      <c r="AR31">
        <v>36.6374269005847</v>
      </c>
      <c r="AS31">
        <v>5.4566696358329302E-2</v>
      </c>
      <c r="AT31">
        <v>-4.8242034109687797E-2</v>
      </c>
      <c r="AU31">
        <v>0.72222222222222199</v>
      </c>
      <c r="AV31">
        <v>0.72857142857142798</v>
      </c>
      <c r="AW31">
        <v>18.410958904109499</v>
      </c>
    </row>
    <row r="32" spans="1:49" x14ac:dyDescent="0.3">
      <c r="A32" t="s">
        <v>66</v>
      </c>
      <c r="B32" t="s">
        <v>67</v>
      </c>
      <c r="C32" s="7">
        <v>38356</v>
      </c>
      <c r="D32" s="7">
        <v>45076</v>
      </c>
      <c r="E32">
        <v>0</v>
      </c>
      <c r="F32">
        <v>7.6371500247638799</v>
      </c>
      <c r="G32">
        <v>0.124331149212513</v>
      </c>
      <c r="H32">
        <v>-0.59516043207292402</v>
      </c>
      <c r="I32">
        <v>0.20890358718820101</v>
      </c>
      <c r="J32">
        <v>0.11183144246353199</v>
      </c>
      <c r="K32">
        <v>0.201772041671549</v>
      </c>
      <c r="L32">
        <v>0.19372987800921099</v>
      </c>
      <c r="M32">
        <v>0.24853786390662</v>
      </c>
      <c r="N32">
        <v>3.8432278642289701E-2</v>
      </c>
      <c r="O32">
        <v>0.127675295598841</v>
      </c>
      <c r="P32">
        <v>6.7035348057486996E-2</v>
      </c>
      <c r="Q32">
        <v>9.6892164771035405E-2</v>
      </c>
      <c r="R32">
        <v>0.124331149212513</v>
      </c>
      <c r="S32">
        <v>0.51980351806785097</v>
      </c>
      <c r="T32">
        <v>0.87835726968003602</v>
      </c>
      <c r="U32">
        <v>0.15912583221710899</v>
      </c>
      <c r="V32">
        <v>0.30612688580599101</v>
      </c>
      <c r="W32">
        <v>2.7542275091736501</v>
      </c>
      <c r="X32">
        <v>64.948962128673301</v>
      </c>
      <c r="Y32">
        <v>0.39878455786389999</v>
      </c>
      <c r="Z32">
        <v>-0.18085080248875901</v>
      </c>
      <c r="AA32">
        <v>0.52551854444637902</v>
      </c>
      <c r="AB32">
        <v>1.0653621631329999</v>
      </c>
      <c r="AC32">
        <v>0.15171803878492099</v>
      </c>
      <c r="AD32">
        <v>0.28870158891300901</v>
      </c>
      <c r="AE32">
        <v>0.78489035550151498</v>
      </c>
      <c r="AF32">
        <v>2.81510358260409</v>
      </c>
      <c r="AG32">
        <v>0.39878455786389999</v>
      </c>
      <c r="AH32">
        <v>-0.231132312152626</v>
      </c>
      <c r="AI32">
        <v>0.41853225783242398</v>
      </c>
      <c r="AJ32">
        <v>1.2839602178418901</v>
      </c>
      <c r="AK32">
        <v>0.15879010277320099</v>
      </c>
      <c r="AL32">
        <v>0.37939752504520002</v>
      </c>
      <c r="AM32">
        <v>0.415589035357737</v>
      </c>
      <c r="AN32">
        <v>-0.75685102821619699</v>
      </c>
      <c r="AO32">
        <v>0.94533229596556601</v>
      </c>
      <c r="AP32">
        <v>-0.40401542920351102</v>
      </c>
      <c r="AQ32">
        <v>-5.9354834154054799E-2</v>
      </c>
      <c r="AR32">
        <v>72.438202247191001</v>
      </c>
      <c r="AS32">
        <v>7.4714888320193601E-2</v>
      </c>
      <c r="AT32">
        <v>-4.4031007790406702E-2</v>
      </c>
      <c r="AU32">
        <v>0.55555555555555503</v>
      </c>
      <c r="AV32">
        <v>0.64285714285714202</v>
      </c>
      <c r="AW32">
        <v>18.410958904109499</v>
      </c>
    </row>
    <row r="33" spans="1:49" x14ac:dyDescent="0.3">
      <c r="A33" t="s">
        <v>68</v>
      </c>
      <c r="B33" t="s">
        <v>69</v>
      </c>
      <c r="C33" s="7">
        <v>40311</v>
      </c>
      <c r="D33" s="7">
        <v>45076</v>
      </c>
      <c r="E33">
        <v>0</v>
      </c>
      <c r="F33">
        <v>1.55852260023987</v>
      </c>
      <c r="G33">
        <v>7.4665899227395804E-2</v>
      </c>
      <c r="H33">
        <v>-0.50695931477515999</v>
      </c>
      <c r="I33">
        <v>0.14728183712436599</v>
      </c>
      <c r="J33">
        <v>4.8192771084337498E-2</v>
      </c>
      <c r="K33">
        <v>2.3529411764706E-2</v>
      </c>
      <c r="L33">
        <v>-3.3333333333332799E-2</v>
      </c>
      <c r="M33">
        <v>-3.5476718403547401E-2</v>
      </c>
      <c r="N33">
        <v>-7.4468085106384099E-2</v>
      </c>
      <c r="O33">
        <v>0.15043075295644001</v>
      </c>
      <c r="P33">
        <v>0.118238447518814</v>
      </c>
      <c r="Q33">
        <v>8.5517742543993899E-2</v>
      </c>
      <c r="R33">
        <v>7.4665899227395804E-2</v>
      </c>
      <c r="S33">
        <v>0.417277192614877</v>
      </c>
      <c r="T33">
        <v>0.55521316908724905</v>
      </c>
      <c r="U33">
        <v>0.102538034984952</v>
      </c>
      <c r="V33">
        <v>0.245731223272462</v>
      </c>
      <c r="W33">
        <v>-5.1707827820669401</v>
      </c>
      <c r="X33">
        <v>225.240054486172</v>
      </c>
      <c r="Y33">
        <v>0.311617806731812</v>
      </c>
      <c r="Z33">
        <v>-0.36928594445285001</v>
      </c>
      <c r="AA33">
        <v>0.44777137655827998</v>
      </c>
      <c r="AB33">
        <v>0.60066292488227402</v>
      </c>
      <c r="AC33">
        <v>9.9391700319278201E-2</v>
      </c>
      <c r="AD33">
        <v>0.22196974957005</v>
      </c>
      <c r="AE33">
        <v>-2.6729156741555702</v>
      </c>
      <c r="AF33">
        <v>15.1805322245167</v>
      </c>
      <c r="AG33">
        <v>0.15458937198067599</v>
      </c>
      <c r="AH33">
        <v>-0.37827715355805203</v>
      </c>
      <c r="AI33">
        <v>0.64002883252062204</v>
      </c>
      <c r="AJ33">
        <v>1.5260466069393499</v>
      </c>
      <c r="AK33">
        <v>0.13734523743596</v>
      </c>
      <c r="AL33">
        <v>0.21459226593754299</v>
      </c>
      <c r="AM33">
        <v>-0.56967215933023796</v>
      </c>
      <c r="AN33">
        <v>-0.10049286220284</v>
      </c>
      <c r="AO33">
        <v>0.47482014388489202</v>
      </c>
      <c r="AP33">
        <v>-0.26540475231574601</v>
      </c>
      <c r="AQ33">
        <v>-3.1355732515898301E-2</v>
      </c>
      <c r="AR33">
        <v>48.626506024096301</v>
      </c>
      <c r="AS33">
        <v>3.7679519896951702E-2</v>
      </c>
      <c r="AT33">
        <v>-4.8847140476139798E-2</v>
      </c>
      <c r="AU33">
        <v>0.76923076923076905</v>
      </c>
      <c r="AV33">
        <v>0.72602739726027399</v>
      </c>
      <c r="AW33">
        <v>13.054794520547899</v>
      </c>
    </row>
    <row r="34" spans="1:49" x14ac:dyDescent="0.3">
      <c r="A34" t="s">
        <v>70</v>
      </c>
      <c r="B34" t="s">
        <v>71</v>
      </c>
      <c r="C34" s="7">
        <v>38356</v>
      </c>
      <c r="D34" s="7">
        <v>45076</v>
      </c>
      <c r="E34">
        <v>0</v>
      </c>
      <c r="F34">
        <v>4.8548895714532803</v>
      </c>
      <c r="G34">
        <v>0.100820979180202</v>
      </c>
      <c r="H34">
        <v>-0.68148235575859495</v>
      </c>
      <c r="I34">
        <v>0.14794363834698701</v>
      </c>
      <c r="J34">
        <v>-5.6423520565862502E-3</v>
      </c>
      <c r="K34">
        <v>-3.3562657922373097E-2</v>
      </c>
      <c r="L34">
        <v>1.0002508026637699E-2</v>
      </c>
      <c r="M34">
        <v>4.0731723237220102E-2</v>
      </c>
      <c r="N34">
        <v>8.2169047293560296E-2</v>
      </c>
      <c r="O34">
        <v>0.15154453564078299</v>
      </c>
      <c r="P34">
        <v>8.0665851237744002E-2</v>
      </c>
      <c r="Q34">
        <v>0.12575346512315599</v>
      </c>
      <c r="R34">
        <v>0.100820979180202</v>
      </c>
      <c r="S34">
        <v>0.43486883387803499</v>
      </c>
      <c r="T34">
        <v>0.73087697893015202</v>
      </c>
      <c r="U34">
        <v>0.16003947271947699</v>
      </c>
      <c r="V34">
        <v>0.36801780272982798</v>
      </c>
      <c r="W34">
        <v>0.971410314910783</v>
      </c>
      <c r="X34">
        <v>19.657127081242098</v>
      </c>
      <c r="Y34">
        <v>0.25096721180854398</v>
      </c>
      <c r="Z34">
        <v>-0.20727454355823699</v>
      </c>
      <c r="AA34">
        <v>0.495400898145062</v>
      </c>
      <c r="AB34">
        <v>0.869730860454759</v>
      </c>
      <c r="AC34">
        <v>0.13650253106226101</v>
      </c>
      <c r="AD34">
        <v>0.27553953085949101</v>
      </c>
      <c r="AE34">
        <v>-0.18765118483801799</v>
      </c>
      <c r="AF34">
        <v>0.98281524773866502</v>
      </c>
      <c r="AG34">
        <v>0.243744646102526</v>
      </c>
      <c r="AH34">
        <v>-0.23248515850016399</v>
      </c>
      <c r="AI34">
        <v>0.54622940282696097</v>
      </c>
      <c r="AJ34">
        <v>1.58601663138099</v>
      </c>
      <c r="AK34">
        <v>0.120622452100258</v>
      </c>
      <c r="AL34">
        <v>0.220827460909259</v>
      </c>
      <c r="AM34">
        <v>-9.1673476337517504E-2</v>
      </c>
      <c r="AN34">
        <v>-1.2926885230449201</v>
      </c>
      <c r="AO34">
        <v>0.47257052560672402</v>
      </c>
      <c r="AP34">
        <v>-0.25142099957324598</v>
      </c>
      <c r="AQ34">
        <v>-4.0255226875933803E-2</v>
      </c>
      <c r="AR34">
        <v>46.397058823529399</v>
      </c>
      <c r="AS34">
        <v>6.4413857280012699E-2</v>
      </c>
      <c r="AT34">
        <v>-5.7133040624098401E-2</v>
      </c>
      <c r="AU34">
        <v>0.66666666666666596</v>
      </c>
      <c r="AV34">
        <v>0.66666666666666596</v>
      </c>
      <c r="AW34">
        <v>18.410958904109499</v>
      </c>
    </row>
    <row r="35" spans="1:49" x14ac:dyDescent="0.3">
      <c r="A35" t="s">
        <v>72</v>
      </c>
      <c r="B35" t="s">
        <v>72</v>
      </c>
      <c r="C35" s="7">
        <v>38356</v>
      </c>
      <c r="D35" s="7">
        <v>45076</v>
      </c>
      <c r="E35">
        <v>0</v>
      </c>
      <c r="F35">
        <v>4.2023353998446904</v>
      </c>
      <c r="G35">
        <v>9.3773252063420603E-2</v>
      </c>
      <c r="H35">
        <v>-0.77464786558088505</v>
      </c>
      <c r="I35">
        <v>0.121052746970525</v>
      </c>
      <c r="J35">
        <v>-5.4539315223083903E-2</v>
      </c>
      <c r="K35">
        <v>-8.4467794370489901E-2</v>
      </c>
      <c r="L35">
        <v>-0.111146490876342</v>
      </c>
      <c r="M35">
        <v>-0.100402894743554</v>
      </c>
      <c r="N35">
        <v>-5.89138477418856E-2</v>
      </c>
      <c r="O35">
        <v>0.122403774368756</v>
      </c>
      <c r="P35">
        <v>9.8964745280862396E-2</v>
      </c>
      <c r="Q35">
        <v>3.71947232387266E-2</v>
      </c>
      <c r="R35">
        <v>9.3773252063420603E-2</v>
      </c>
      <c r="S35">
        <v>0.41909874293671001</v>
      </c>
      <c r="T35">
        <v>0.682054895402604</v>
      </c>
      <c r="U35">
        <v>0.157891695203077</v>
      </c>
      <c r="V35">
        <v>0.37674103743833198</v>
      </c>
      <c r="W35">
        <v>-1.63245144995872E-2</v>
      </c>
      <c r="X35">
        <v>6.2137811403783001</v>
      </c>
      <c r="Y35">
        <v>0.18318453492215001</v>
      </c>
      <c r="Z35">
        <v>-0.17149575682754001</v>
      </c>
      <c r="AA35">
        <v>0.41737469484773099</v>
      </c>
      <c r="AB35">
        <v>0.78118539643462803</v>
      </c>
      <c r="AC35">
        <v>0.13763179010698801</v>
      </c>
      <c r="AD35">
        <v>0.32975595263914997</v>
      </c>
      <c r="AE35">
        <v>7.2190486402233203E-2</v>
      </c>
      <c r="AF35">
        <v>0.15683604797286799</v>
      </c>
      <c r="AG35">
        <v>0.31325804345117297</v>
      </c>
      <c r="AH35">
        <v>-0.25320003350065901</v>
      </c>
      <c r="AI35">
        <v>0.35366482921329301</v>
      </c>
      <c r="AJ35">
        <v>0.89561539610681995</v>
      </c>
      <c r="AK35">
        <v>0.12545182130392199</v>
      </c>
      <c r="AL35">
        <v>0.354719528042927</v>
      </c>
      <c r="AM35">
        <v>0.42672087213090598</v>
      </c>
      <c r="AN35">
        <v>-8.2271548983374708E-3</v>
      </c>
      <c r="AO35">
        <v>0.84738987174607905</v>
      </c>
      <c r="AP35">
        <v>-0.420554536221658</v>
      </c>
      <c r="AQ35">
        <v>-8.0973502187521501E-2</v>
      </c>
      <c r="AR35">
        <v>108.666666666666</v>
      </c>
      <c r="AS35">
        <v>8.2150038722381497E-2</v>
      </c>
      <c r="AT35">
        <v>-6.8818495584697506E-2</v>
      </c>
      <c r="AU35">
        <v>0.61111111111111105</v>
      </c>
      <c r="AV35">
        <v>0.65238095238095195</v>
      </c>
      <c r="AW35">
        <v>18.410958904109499</v>
      </c>
    </row>
    <row r="36" spans="1:49" x14ac:dyDescent="0.3">
      <c r="A36" t="s">
        <v>73</v>
      </c>
      <c r="B36" t="s">
        <v>74</v>
      </c>
      <c r="C36" s="7">
        <v>38356</v>
      </c>
      <c r="D36" s="7">
        <v>45076</v>
      </c>
      <c r="E36">
        <v>0</v>
      </c>
      <c r="F36">
        <v>5.3222238859111499</v>
      </c>
      <c r="G36">
        <v>0.10542535747422301</v>
      </c>
      <c r="H36">
        <v>-0.88969834299880202</v>
      </c>
      <c r="I36">
        <v>0.118495620795334</v>
      </c>
      <c r="J36">
        <v>-5.9228017129474897E-2</v>
      </c>
      <c r="K36">
        <v>-0.108651974315101</v>
      </c>
      <c r="L36">
        <v>-9.4497372785786807E-2</v>
      </c>
      <c r="M36">
        <v>-0.12705476724143699</v>
      </c>
      <c r="N36">
        <v>-0.112385478485188</v>
      </c>
      <c r="O36">
        <v>0.13138651619234001</v>
      </c>
      <c r="P36">
        <v>0.11080025182316899</v>
      </c>
      <c r="Q36">
        <v>0.106219342242817</v>
      </c>
      <c r="R36">
        <v>0.10542535747422301</v>
      </c>
      <c r="S36">
        <v>0.44088199589203397</v>
      </c>
      <c r="T36">
        <v>0.72320535888684601</v>
      </c>
      <c r="U36">
        <v>0.190065615543414</v>
      </c>
      <c r="V36">
        <v>0.43110314622590901</v>
      </c>
      <c r="W36">
        <v>0.18219608520751299</v>
      </c>
      <c r="X36">
        <v>11.550168746038601</v>
      </c>
      <c r="Y36">
        <v>0.29292700186831999</v>
      </c>
      <c r="Z36">
        <v>-0.27330632016281298</v>
      </c>
      <c r="AA36">
        <v>0.44845980997176998</v>
      </c>
      <c r="AB36">
        <v>0.78954050402543996</v>
      </c>
      <c r="AC36">
        <v>0.16308131851723801</v>
      </c>
      <c r="AD36">
        <v>0.36364756638394002</v>
      </c>
      <c r="AE36">
        <v>-0.35036388750838898</v>
      </c>
      <c r="AF36">
        <v>2.0739681883001602</v>
      </c>
      <c r="AG36">
        <v>0.31431355254251098</v>
      </c>
      <c r="AH36">
        <v>-0.46198950331854899</v>
      </c>
      <c r="AI36">
        <v>0.35953736899272998</v>
      </c>
      <c r="AJ36">
        <v>1.03583897871363</v>
      </c>
      <c r="AK36">
        <v>0.20921358231679099</v>
      </c>
      <c r="AL36">
        <v>0.58189662705414402</v>
      </c>
      <c r="AM36">
        <v>1.4680163912304101</v>
      </c>
      <c r="AN36">
        <v>4.1626789856828399</v>
      </c>
      <c r="AO36">
        <v>1.9428941878048001</v>
      </c>
      <c r="AP36">
        <v>-0.78497119439929397</v>
      </c>
      <c r="AQ36">
        <v>-7.3832815081629102E-2</v>
      </c>
      <c r="AR36">
        <v>110.77966101694901</v>
      </c>
      <c r="AS36">
        <v>8.9865903970939895E-2</v>
      </c>
      <c r="AT36">
        <v>-6.9950045560400395E-2</v>
      </c>
      <c r="AU36">
        <v>0.61111111111111105</v>
      </c>
      <c r="AV36">
        <v>0.64761904761904698</v>
      </c>
      <c r="AW36">
        <v>18.410958904109499</v>
      </c>
    </row>
    <row r="37" spans="1:49" x14ac:dyDescent="0.3">
      <c r="A37" t="s">
        <v>75</v>
      </c>
      <c r="B37" t="s">
        <v>76</v>
      </c>
      <c r="C37" s="7">
        <v>39307</v>
      </c>
      <c r="D37" s="7">
        <v>45076</v>
      </c>
      <c r="E37">
        <v>0</v>
      </c>
      <c r="F37">
        <v>39.748928340918802</v>
      </c>
      <c r="G37">
        <v>0.26456318381355998</v>
      </c>
      <c r="H37">
        <v>-0.89493718391398203</v>
      </c>
      <c r="I37">
        <v>0.29562207110056599</v>
      </c>
      <c r="J37">
        <v>-2.1737954695171102E-2</v>
      </c>
      <c r="K37">
        <v>2.4360631723873299E-2</v>
      </c>
      <c r="L37">
        <v>0.34235596925001399</v>
      </c>
      <c r="M37">
        <v>0.47679143638319699</v>
      </c>
      <c r="N37">
        <v>0.54012615466707503</v>
      </c>
      <c r="O37">
        <v>0.14012542564167099</v>
      </c>
      <c r="P37">
        <v>0.32831297495855799</v>
      </c>
      <c r="Q37">
        <v>0.26791544080027901</v>
      </c>
      <c r="R37">
        <v>0.26456318381355998</v>
      </c>
      <c r="S37">
        <v>0.68249408803539802</v>
      </c>
      <c r="T37">
        <v>1.1800713987523299</v>
      </c>
      <c r="U37">
        <v>0.38135692690758599</v>
      </c>
      <c r="V37">
        <v>0.55876956825420399</v>
      </c>
      <c r="W37">
        <v>0.79361129695427701</v>
      </c>
      <c r="X37">
        <v>9.5315440011664503</v>
      </c>
      <c r="Y37">
        <v>0.35999998324789001</v>
      </c>
      <c r="Z37">
        <v>-0.21198679857796501</v>
      </c>
      <c r="AA37">
        <v>0.71209774898903699</v>
      </c>
      <c r="AB37">
        <v>1.46196501003594</v>
      </c>
      <c r="AC37">
        <v>0.39164077225985899</v>
      </c>
      <c r="AD37">
        <v>0.54998175856596898</v>
      </c>
      <c r="AE37">
        <v>0.45567232124542401</v>
      </c>
      <c r="AF37">
        <v>2.1548296757370502</v>
      </c>
      <c r="AG37">
        <v>0.74204138919469798</v>
      </c>
      <c r="AH37">
        <v>-0.49878172949119398</v>
      </c>
      <c r="AI37">
        <v>0.51395887962247799</v>
      </c>
      <c r="AJ37">
        <v>1.93154765296109</v>
      </c>
      <c r="AK37">
        <v>0.40268926923529702</v>
      </c>
      <c r="AL37">
        <v>0.78350483900791301</v>
      </c>
      <c r="AM37">
        <v>1.06875072123667</v>
      </c>
      <c r="AN37">
        <v>0.99658677271177798</v>
      </c>
      <c r="AO37">
        <v>2.1608776688562101</v>
      </c>
      <c r="AP37">
        <v>-0.77788305104000799</v>
      </c>
      <c r="AQ37">
        <v>-8.9683116280459899E-2</v>
      </c>
      <c r="AR37">
        <v>54.85</v>
      </c>
      <c r="AS37">
        <v>0.13550088190062801</v>
      </c>
      <c r="AT37">
        <v>-0.10451547015031</v>
      </c>
      <c r="AU37">
        <v>0.625</v>
      </c>
      <c r="AV37">
        <v>0.69273743016759703</v>
      </c>
      <c r="AW37">
        <v>15.8054794520547</v>
      </c>
    </row>
    <row r="38" spans="1:49" x14ac:dyDescent="0.3">
      <c r="A38" t="s">
        <v>77</v>
      </c>
      <c r="B38" t="s">
        <v>78</v>
      </c>
      <c r="C38" s="7">
        <v>41092</v>
      </c>
      <c r="D38" s="7">
        <v>45076</v>
      </c>
      <c r="E38">
        <v>0</v>
      </c>
      <c r="F38">
        <v>21.168751916396499</v>
      </c>
      <c r="G38">
        <v>0.32854571593371901</v>
      </c>
      <c r="H38">
        <v>-0.51297504841202302</v>
      </c>
      <c r="I38">
        <v>0.64047114367603597</v>
      </c>
      <c r="J38">
        <v>0.19524613440368199</v>
      </c>
      <c r="K38">
        <v>0.270611051335724</v>
      </c>
      <c r="L38">
        <v>0.31904878986033602</v>
      </c>
      <c r="M38">
        <v>0.41427359995585999</v>
      </c>
      <c r="N38">
        <v>0.152911010656644</v>
      </c>
      <c r="O38">
        <v>0.12757971229074899</v>
      </c>
      <c r="P38">
        <v>0.252084881459744</v>
      </c>
      <c r="Q38">
        <v>0.31048917537766502</v>
      </c>
      <c r="R38">
        <v>0.32854571593371901</v>
      </c>
      <c r="S38">
        <v>0.87495248155861505</v>
      </c>
      <c r="T38">
        <v>1.47492980056367</v>
      </c>
      <c r="U38">
        <v>0.35939668260255198</v>
      </c>
      <c r="V38">
        <v>0.410761372963173</v>
      </c>
      <c r="W38">
        <v>0.135476459054158</v>
      </c>
      <c r="X38">
        <v>3.9383992444616802</v>
      </c>
      <c r="Y38">
        <v>0.15337588042495401</v>
      </c>
      <c r="Z38">
        <v>-0.15656100068661499</v>
      </c>
      <c r="AA38">
        <v>1.0206498865684599</v>
      </c>
      <c r="AB38">
        <v>2.0935330549662599</v>
      </c>
      <c r="AC38">
        <v>0.33405978214354698</v>
      </c>
      <c r="AD38">
        <v>0.327301052534961</v>
      </c>
      <c r="AE38">
        <v>-0.124305467056525</v>
      </c>
      <c r="AF38">
        <v>0.22331757317519299</v>
      </c>
      <c r="AG38">
        <v>0.24372989809422699</v>
      </c>
      <c r="AH38">
        <v>-0.28130775370734301</v>
      </c>
      <c r="AI38">
        <v>0.89346008432242396</v>
      </c>
      <c r="AJ38">
        <v>2.96666867233384</v>
      </c>
      <c r="AK38">
        <v>0.36887203943414498</v>
      </c>
      <c r="AL38">
        <v>0.41285788353252201</v>
      </c>
      <c r="AM38">
        <v>-0.37601722774007501</v>
      </c>
      <c r="AN38">
        <v>-0.24719354148088701</v>
      </c>
      <c r="AO38">
        <v>0.94966696796541195</v>
      </c>
      <c r="AP38">
        <v>-0.40184252626558797</v>
      </c>
      <c r="AQ38">
        <v>-5.9446355335420101E-2</v>
      </c>
      <c r="AR38">
        <v>29.008064516129</v>
      </c>
      <c r="AS38">
        <v>8.8327229828017301E-2</v>
      </c>
      <c r="AT38">
        <v>-6.2895056795453499E-2</v>
      </c>
      <c r="AU38">
        <v>0.81818181818181801</v>
      </c>
      <c r="AV38">
        <v>0.83333333333333304</v>
      </c>
      <c r="AW38">
        <v>10.915068493150599</v>
      </c>
    </row>
    <row r="39" spans="1:49" x14ac:dyDescent="0.3">
      <c r="A39" t="s">
        <v>79</v>
      </c>
      <c r="B39" t="s">
        <v>80</v>
      </c>
      <c r="C39" s="7">
        <v>38356</v>
      </c>
      <c r="D39" s="7">
        <v>45076</v>
      </c>
      <c r="E39">
        <v>0</v>
      </c>
      <c r="F39">
        <v>25.907496612534601</v>
      </c>
      <c r="G39">
        <v>0.19596217289050899</v>
      </c>
      <c r="H39">
        <v>-0.74991668998522298</v>
      </c>
      <c r="I39">
        <v>0.261311923720981</v>
      </c>
      <c r="J39">
        <v>0.20203022712209401</v>
      </c>
      <c r="K39">
        <v>0.30089178310237602</v>
      </c>
      <c r="L39">
        <v>0.34341880308505801</v>
      </c>
      <c r="M39">
        <v>0.50427426787841001</v>
      </c>
      <c r="N39">
        <v>0.203731694033043</v>
      </c>
      <c r="O39">
        <v>0.34227339963415199</v>
      </c>
      <c r="P39">
        <v>0.276850212622898</v>
      </c>
      <c r="Q39">
        <v>0.31204555663552902</v>
      </c>
      <c r="R39">
        <v>0.19596217289050899</v>
      </c>
      <c r="S39">
        <v>0.63239508437258296</v>
      </c>
      <c r="T39">
        <v>1.06427053156896</v>
      </c>
      <c r="U39">
        <v>0.25368405192962101</v>
      </c>
      <c r="V39">
        <v>0.40114804526241399</v>
      </c>
      <c r="W39">
        <v>0.128171224947388</v>
      </c>
      <c r="X39">
        <v>4.8513973905606296</v>
      </c>
      <c r="Y39">
        <v>0.20312987566302801</v>
      </c>
      <c r="Z39">
        <v>-0.184276800795692</v>
      </c>
      <c r="AA39">
        <v>0.69799437919728902</v>
      </c>
      <c r="AB39">
        <v>1.4046976907230999</v>
      </c>
      <c r="AC39">
        <v>0.23816348574030899</v>
      </c>
      <c r="AD39">
        <v>0.34121117997282802</v>
      </c>
      <c r="AE39">
        <v>8.5441199672602802E-2</v>
      </c>
      <c r="AF39">
        <v>-2.37666133303489E-2</v>
      </c>
      <c r="AG39">
        <v>0.32325762472213898</v>
      </c>
      <c r="AH39">
        <v>-0.28993328027027199</v>
      </c>
      <c r="AI39">
        <v>0.583436196365824</v>
      </c>
      <c r="AJ39">
        <v>1.7054792960732399</v>
      </c>
      <c r="AK39">
        <v>0.27487496752672902</v>
      </c>
      <c r="AL39">
        <v>0.47113115236747899</v>
      </c>
      <c r="AM39">
        <v>-3.4639017437428699E-2</v>
      </c>
      <c r="AN39">
        <v>-0.70570973417891703</v>
      </c>
      <c r="AO39">
        <v>1.1933350300147101</v>
      </c>
      <c r="AP39">
        <v>-0.50774921717709998</v>
      </c>
      <c r="AQ39">
        <v>-5.7184543274598598E-2</v>
      </c>
      <c r="AR39">
        <v>46.463235294117602</v>
      </c>
      <c r="AS39">
        <v>8.9173733369566799E-2</v>
      </c>
      <c r="AT39">
        <v>-7.1372485255686194E-2</v>
      </c>
      <c r="AU39">
        <v>0.66666666666666596</v>
      </c>
      <c r="AV39">
        <v>0.661904761904761</v>
      </c>
      <c r="AW39">
        <v>18.410958904109499</v>
      </c>
    </row>
    <row r="40" spans="1:49" x14ac:dyDescent="0.3">
      <c r="A40" t="s">
        <v>81</v>
      </c>
      <c r="B40" t="s">
        <v>82</v>
      </c>
      <c r="C40" s="7">
        <v>43629</v>
      </c>
      <c r="D40" s="7">
        <v>45076</v>
      </c>
      <c r="E40">
        <v>0</v>
      </c>
      <c r="F40">
        <v>1.34739493885192</v>
      </c>
      <c r="G40">
        <v>0.24034618116287501</v>
      </c>
      <c r="H40">
        <v>-0.67692201518863104</v>
      </c>
      <c r="I40">
        <v>0.35505741543344599</v>
      </c>
      <c r="J40">
        <v>0.32103283887062201</v>
      </c>
      <c r="K40">
        <v>0.31402761728242001</v>
      </c>
      <c r="L40">
        <v>0.34798125185749601</v>
      </c>
      <c r="M40">
        <v>0.50622086578881298</v>
      </c>
      <c r="N40">
        <v>-4.9334675848160599E-2</v>
      </c>
      <c r="O40">
        <v>0.187450046219275</v>
      </c>
      <c r="P40">
        <v>0.24034618116287501</v>
      </c>
      <c r="R40">
        <v>0.24034618116287501</v>
      </c>
      <c r="S40">
        <v>0.64630181607909798</v>
      </c>
      <c r="T40">
        <v>1.1124972076988899</v>
      </c>
      <c r="U40">
        <v>0.393374158056781</v>
      </c>
      <c r="V40">
        <v>0.60865395743934902</v>
      </c>
      <c r="W40">
        <v>0.13756250336914</v>
      </c>
      <c r="X40">
        <v>2.01544066186228</v>
      </c>
      <c r="Y40">
        <v>0.17417336729089999</v>
      </c>
      <c r="Z40">
        <v>-0.16536032975189</v>
      </c>
      <c r="AA40">
        <v>0.65731232006791696</v>
      </c>
      <c r="AB40">
        <v>1.3460381719565899</v>
      </c>
      <c r="AC40">
        <v>0.367241720103408</v>
      </c>
      <c r="AD40">
        <v>0.55870201864687696</v>
      </c>
      <c r="AE40">
        <v>8.8134670240208199E-2</v>
      </c>
      <c r="AF40">
        <v>-0.62170089957230601</v>
      </c>
      <c r="AG40">
        <v>0.38191550764044402</v>
      </c>
      <c r="AH40">
        <v>-0.28260331878667</v>
      </c>
      <c r="AI40">
        <v>0.482569349312645</v>
      </c>
      <c r="AJ40">
        <v>3.3998994144421899</v>
      </c>
      <c r="AK40">
        <v>0.80863097643162596</v>
      </c>
      <c r="AL40">
        <v>1.6756782783312001</v>
      </c>
      <c r="AM40">
        <v>1.6595016877726001</v>
      </c>
      <c r="AN40">
        <v>2.8593580626291999</v>
      </c>
      <c r="AO40">
        <v>3.2474435905550001</v>
      </c>
      <c r="AP40">
        <v>-0.48576312129168497</v>
      </c>
      <c r="AQ40">
        <v>-0.12103910278855</v>
      </c>
      <c r="AR40">
        <v>45.7</v>
      </c>
      <c r="AS40">
        <v>0.14484266724478401</v>
      </c>
      <c r="AT40">
        <v>-0.123619430593541</v>
      </c>
      <c r="AU40">
        <v>0.5</v>
      </c>
      <c r="AV40">
        <v>0.56756756756756699</v>
      </c>
      <c r="AW40">
        <v>3.9643835616438299</v>
      </c>
    </row>
    <row r="41" spans="1:49" x14ac:dyDescent="0.3">
      <c r="A41" t="s">
        <v>83</v>
      </c>
      <c r="B41" t="s">
        <v>84</v>
      </c>
      <c r="C41" s="7">
        <v>38356</v>
      </c>
      <c r="D41" s="7">
        <v>45076</v>
      </c>
      <c r="E41">
        <v>0</v>
      </c>
      <c r="F41">
        <v>10.1769785699958</v>
      </c>
      <c r="G41">
        <v>0.140195283400293</v>
      </c>
      <c r="H41">
        <v>-0.63798665717320202</v>
      </c>
      <c r="I41">
        <v>0.21974641918292201</v>
      </c>
      <c r="J41">
        <v>0.21137720506739299</v>
      </c>
      <c r="K41">
        <v>0.1788373698047</v>
      </c>
      <c r="L41">
        <v>0.25221371510365698</v>
      </c>
      <c r="M41">
        <v>0.40935134186940397</v>
      </c>
      <c r="N41">
        <v>0.15440767526639601</v>
      </c>
      <c r="O41">
        <v>0.36200286096018702</v>
      </c>
      <c r="P41">
        <v>0.23038230928411901</v>
      </c>
      <c r="Q41">
        <v>0.26354077584253199</v>
      </c>
      <c r="R41">
        <v>0.140195283400293</v>
      </c>
      <c r="S41">
        <v>0.53197825614134797</v>
      </c>
      <c r="T41">
        <v>0.88043104504220004</v>
      </c>
      <c r="U41">
        <v>0.192979260079788</v>
      </c>
      <c r="V41">
        <v>0.36275779668053398</v>
      </c>
      <c r="W41">
        <v>-6.5382405105307295E-2</v>
      </c>
      <c r="X41">
        <v>4.8868387906325701</v>
      </c>
      <c r="Y41">
        <v>0.14271328495712601</v>
      </c>
      <c r="Z41">
        <v>-0.20357644295815899</v>
      </c>
      <c r="AA41">
        <v>0.57092284349615496</v>
      </c>
      <c r="AB41">
        <v>1.15234876420764</v>
      </c>
      <c r="AC41">
        <v>0.18656355932268501</v>
      </c>
      <c r="AD41">
        <v>0.32677543287675598</v>
      </c>
      <c r="AE41">
        <v>0.27024324705758801</v>
      </c>
      <c r="AF41">
        <v>0.67531563334659295</v>
      </c>
      <c r="AG41">
        <v>0.39666928416008601</v>
      </c>
      <c r="AH41">
        <v>-0.25397836761706899</v>
      </c>
      <c r="AI41">
        <v>0.50011742575763396</v>
      </c>
      <c r="AJ41">
        <v>1.4194934312038401</v>
      </c>
      <c r="AK41">
        <v>0.21698097859499799</v>
      </c>
      <c r="AL41">
        <v>0.43386006449643399</v>
      </c>
      <c r="AM41">
        <v>-4.1640252145431198E-4</v>
      </c>
      <c r="AN41">
        <v>-1.31725668895274</v>
      </c>
      <c r="AO41">
        <v>0.89855141177594999</v>
      </c>
      <c r="AP41">
        <v>-0.42108761292642999</v>
      </c>
      <c r="AQ41">
        <v>-6.1137997007201898E-2</v>
      </c>
      <c r="AR41">
        <v>56.1929824561403</v>
      </c>
      <c r="AS41">
        <v>8.5810423956639806E-2</v>
      </c>
      <c r="AT41">
        <v>-6.5738216725172605E-2</v>
      </c>
      <c r="AU41">
        <v>0.66666666666666596</v>
      </c>
      <c r="AV41">
        <v>0.64761904761904698</v>
      </c>
      <c r="AW41">
        <v>18.410958904109499</v>
      </c>
    </row>
    <row r="42" spans="1:49" x14ac:dyDescent="0.3">
      <c r="A42" t="s">
        <v>85</v>
      </c>
      <c r="B42" t="s">
        <v>86</v>
      </c>
      <c r="C42" s="7">
        <v>38356</v>
      </c>
      <c r="D42" s="7">
        <v>45076</v>
      </c>
      <c r="E42">
        <v>0</v>
      </c>
      <c r="F42">
        <v>4.4759666592450804</v>
      </c>
      <c r="G42">
        <v>9.6824953141622302E-2</v>
      </c>
      <c r="H42">
        <v>-0.84510489433351699</v>
      </c>
      <c r="I42">
        <v>0.114571520992056</v>
      </c>
      <c r="J42">
        <v>0.108658743633276</v>
      </c>
      <c r="K42">
        <v>0.20405654578979601</v>
      </c>
      <c r="L42">
        <v>0.478211658177701</v>
      </c>
      <c r="M42">
        <v>0.46030562802832498</v>
      </c>
      <c r="N42">
        <v>0.57627373354468003</v>
      </c>
      <c r="O42">
        <v>0.37782257780678002</v>
      </c>
      <c r="P42">
        <v>0.19754437152138099</v>
      </c>
      <c r="Q42">
        <v>0.23389408134474299</v>
      </c>
      <c r="R42">
        <v>9.6824953141622302E-2</v>
      </c>
      <c r="S42">
        <v>0.41776753789347199</v>
      </c>
      <c r="T42">
        <v>0.69117719365395602</v>
      </c>
      <c r="U42">
        <v>0.17740852360894499</v>
      </c>
      <c r="V42">
        <v>0.42465847036248799</v>
      </c>
      <c r="W42">
        <v>3.5082765951090602</v>
      </c>
      <c r="X42">
        <v>131.66195637767399</v>
      </c>
      <c r="Y42">
        <v>0.66196295009782102</v>
      </c>
      <c r="Z42">
        <v>-0.40609742245292402</v>
      </c>
      <c r="AA42">
        <v>0.45063467189999901</v>
      </c>
      <c r="AB42">
        <v>0.77521099481727296</v>
      </c>
      <c r="AC42">
        <v>0.14090695455267299</v>
      </c>
      <c r="AD42">
        <v>0.312685559587706</v>
      </c>
      <c r="AE42">
        <v>-0.140884816468869</v>
      </c>
      <c r="AF42">
        <v>2.42520657424188</v>
      </c>
      <c r="AG42">
        <v>0.35500020322244003</v>
      </c>
      <c r="AH42">
        <v>-0.32872574812428601</v>
      </c>
      <c r="AI42">
        <v>0.43777711804018998</v>
      </c>
      <c r="AJ42">
        <v>0.86600630754929298</v>
      </c>
      <c r="AK42">
        <v>0.166055821183168</v>
      </c>
      <c r="AL42">
        <v>0.37931589921043601</v>
      </c>
      <c r="AM42">
        <v>-0.54674230421638204</v>
      </c>
      <c r="AN42">
        <v>0.63186193818411995</v>
      </c>
      <c r="AO42">
        <v>0.82189259904638201</v>
      </c>
      <c r="AP42">
        <v>-0.71840912201284501</v>
      </c>
      <c r="AQ42">
        <v>-6.1637518527615898E-2</v>
      </c>
      <c r="AR42">
        <v>105.258064516129</v>
      </c>
      <c r="AS42">
        <v>6.9908325149589307E-2</v>
      </c>
      <c r="AT42">
        <v>-6.3388939080729706E-2</v>
      </c>
      <c r="AU42">
        <v>0.72222222222222199</v>
      </c>
      <c r="AV42">
        <v>0.66666666666666596</v>
      </c>
      <c r="AW42">
        <v>18.410958904109499</v>
      </c>
    </row>
    <row r="43" spans="1:49" x14ac:dyDescent="0.3">
      <c r="A43" t="s">
        <v>87</v>
      </c>
      <c r="B43" t="s">
        <v>88</v>
      </c>
      <c r="C43" s="7">
        <v>38356</v>
      </c>
      <c r="D43" s="7">
        <v>45076</v>
      </c>
      <c r="E43">
        <v>0</v>
      </c>
      <c r="F43">
        <v>6.3212929765630603</v>
      </c>
      <c r="G43">
        <v>0.11427570634758299</v>
      </c>
      <c r="H43">
        <v>-0.869093633070669</v>
      </c>
      <c r="I43">
        <v>0.13148837133212599</v>
      </c>
      <c r="J43">
        <v>8.1664703572830594E-2</v>
      </c>
      <c r="K43">
        <v>2.9827780321274298E-3</v>
      </c>
      <c r="L43">
        <v>-7.0319924369903405E-2</v>
      </c>
      <c r="M43">
        <v>-1.9586156804806201E-2</v>
      </c>
      <c r="N43">
        <v>3.7368212084052999E-2</v>
      </c>
      <c r="O43">
        <v>3.9317319044813899E-2</v>
      </c>
      <c r="P43">
        <v>8.0919575541707506E-2</v>
      </c>
      <c r="Q43">
        <v>8.7468631573439398E-2</v>
      </c>
      <c r="R43">
        <v>0.11427570634758299</v>
      </c>
      <c r="S43">
        <v>0.45913471622497198</v>
      </c>
      <c r="T43">
        <v>0.77807596164220805</v>
      </c>
      <c r="U43">
        <v>0.19042110100839399</v>
      </c>
      <c r="V43">
        <v>0.41473906084481199</v>
      </c>
      <c r="W43">
        <v>0.36921499509373501</v>
      </c>
      <c r="X43">
        <v>7.0785819716554004</v>
      </c>
      <c r="Y43">
        <v>0.19047615684588101</v>
      </c>
      <c r="Z43">
        <v>-0.17221190949089901</v>
      </c>
      <c r="AA43">
        <v>0.46339236384485299</v>
      </c>
      <c r="AB43">
        <v>0.95088658220274402</v>
      </c>
      <c r="AC43">
        <v>0.19185986587846299</v>
      </c>
      <c r="AD43">
        <v>0.41403329197435601</v>
      </c>
      <c r="AE43">
        <v>0.72202209694361597</v>
      </c>
      <c r="AF43">
        <v>2.2629207828239402</v>
      </c>
      <c r="AG43">
        <v>0.549793031566157</v>
      </c>
      <c r="AH43">
        <v>-0.29262843825090301</v>
      </c>
      <c r="AI43">
        <v>0.26403421235647501</v>
      </c>
      <c r="AJ43">
        <v>0.92998488909809995</v>
      </c>
      <c r="AK43">
        <v>0.14526893143011499</v>
      </c>
      <c r="AL43">
        <v>0.55018980356222202</v>
      </c>
      <c r="AM43">
        <v>2.1761797580183102</v>
      </c>
      <c r="AN43">
        <v>6.5957497839359602</v>
      </c>
      <c r="AO43">
        <v>1.953785831192</v>
      </c>
      <c r="AP43">
        <v>-0.53476172891131002</v>
      </c>
      <c r="AQ43">
        <v>-9.5460749196212002E-2</v>
      </c>
      <c r="AR43">
        <v>107.262295081967</v>
      </c>
      <c r="AS43">
        <v>9.9829122630124195E-2</v>
      </c>
      <c r="AT43">
        <v>-7.752641683323E-2</v>
      </c>
      <c r="AU43">
        <v>0.5</v>
      </c>
      <c r="AV43">
        <v>0.55238095238095197</v>
      </c>
      <c r="AW43">
        <v>18.410958904109499</v>
      </c>
    </row>
    <row r="44" spans="1:49" x14ac:dyDescent="0.3">
      <c r="A44" t="s">
        <v>89</v>
      </c>
      <c r="B44" t="s">
        <v>90</v>
      </c>
      <c r="C44" s="7">
        <v>38356</v>
      </c>
      <c r="D44" s="7">
        <v>45076</v>
      </c>
      <c r="E44">
        <v>0</v>
      </c>
      <c r="F44">
        <v>1.22721330030039</v>
      </c>
      <c r="G44">
        <v>4.4483986431837798E-2</v>
      </c>
      <c r="H44">
        <v>-0.56141664831318905</v>
      </c>
      <c r="I44">
        <v>7.9235246345994007E-2</v>
      </c>
      <c r="J44">
        <v>2.9126475726435298E-3</v>
      </c>
      <c r="K44">
        <v>1.3316639074287999E-2</v>
      </c>
      <c r="L44">
        <v>-6.7438598071786302E-2</v>
      </c>
      <c r="M44">
        <v>8.4199288407311706E-3</v>
      </c>
      <c r="N44">
        <v>-0.17442909419244901</v>
      </c>
      <c r="O44">
        <v>2.89660041676249E-2</v>
      </c>
      <c r="P44">
        <v>1.5988382812919401E-2</v>
      </c>
      <c r="Q44">
        <v>2.3650292121210201E-2</v>
      </c>
      <c r="R44">
        <v>4.4483986431837798E-2</v>
      </c>
      <c r="S44">
        <v>0.29485703109273997</v>
      </c>
      <c r="T44">
        <v>0.486453550632646</v>
      </c>
      <c r="U44">
        <v>7.18139870288413E-2</v>
      </c>
      <c r="V44">
        <v>0.24355528088544701</v>
      </c>
      <c r="W44">
        <v>3.4942592842837399E-2</v>
      </c>
      <c r="X44">
        <v>8.8234860416719307</v>
      </c>
      <c r="Y44">
        <v>0.14170844113099201</v>
      </c>
      <c r="Z44">
        <v>-0.165235739124095</v>
      </c>
      <c r="AA44">
        <v>0.32489016347998501</v>
      </c>
      <c r="AB44">
        <v>0.60228015290756598</v>
      </c>
      <c r="AC44">
        <v>6.4416859912485996E-2</v>
      </c>
      <c r="AD44">
        <v>0.19827273076691501</v>
      </c>
      <c r="AE44">
        <v>0.29992695555504101</v>
      </c>
      <c r="AF44">
        <v>1.44120370349144</v>
      </c>
      <c r="AG44">
        <v>0.25055318762453399</v>
      </c>
      <c r="AH44">
        <v>-0.17071899488574199</v>
      </c>
      <c r="AI44">
        <v>0.23668430444670499</v>
      </c>
      <c r="AJ44">
        <v>0.47572601729188202</v>
      </c>
      <c r="AK44">
        <v>5.1940451222581001E-2</v>
      </c>
      <c r="AL44">
        <v>0.219450340587652</v>
      </c>
      <c r="AM44">
        <v>-7.4052662601708105E-2</v>
      </c>
      <c r="AN44">
        <v>-0.59412810973228802</v>
      </c>
      <c r="AO44">
        <v>0.43399679617088999</v>
      </c>
      <c r="AP44">
        <v>-0.36613606131767301</v>
      </c>
      <c r="AQ44">
        <v>-6.41575932387424E-2</v>
      </c>
      <c r="AR44">
        <v>114.947368421052</v>
      </c>
      <c r="AS44">
        <v>4.5981338285785198E-2</v>
      </c>
      <c r="AT44">
        <v>-3.9931341116238799E-2</v>
      </c>
      <c r="AU44">
        <v>0.61111111111111105</v>
      </c>
      <c r="AV44">
        <v>0.580952380952381</v>
      </c>
      <c r="AW44">
        <v>18.410958904109499</v>
      </c>
    </row>
    <row r="45" spans="1:49" x14ac:dyDescent="0.3">
      <c r="A45" t="s">
        <v>91</v>
      </c>
      <c r="B45" t="s">
        <v>92</v>
      </c>
      <c r="C45" s="7">
        <v>41001</v>
      </c>
      <c r="D45" s="7">
        <v>45076</v>
      </c>
      <c r="E45">
        <v>0</v>
      </c>
      <c r="F45">
        <v>21.294493776298101</v>
      </c>
      <c r="G45">
        <v>0.32081355217068003</v>
      </c>
      <c r="H45">
        <v>-0.95974698029628702</v>
      </c>
      <c r="I45">
        <v>0.33426888415073802</v>
      </c>
      <c r="J45">
        <v>6.0414119082305498E-2</v>
      </c>
      <c r="K45">
        <v>-0.17294449186920199</v>
      </c>
      <c r="L45">
        <v>-0.45687639319328199</v>
      </c>
      <c r="M45">
        <v>-0.34284420013385902</v>
      </c>
      <c r="N45">
        <v>-7.8486383014427397E-2</v>
      </c>
      <c r="O45">
        <v>0.430199454986254</v>
      </c>
      <c r="P45">
        <v>0.94675690723878203</v>
      </c>
      <c r="Q45">
        <v>0.364424762477079</v>
      </c>
      <c r="R45">
        <v>0.32081355217068003</v>
      </c>
      <c r="S45">
        <v>0.73447337259629797</v>
      </c>
      <c r="T45">
        <v>1.29435208816793</v>
      </c>
      <c r="U45">
        <v>0.59571500469243699</v>
      </c>
      <c r="V45">
        <v>0.81107774211968697</v>
      </c>
      <c r="W45">
        <v>0.56591597306671204</v>
      </c>
      <c r="X45">
        <v>8.2740511530392507</v>
      </c>
      <c r="Y45">
        <v>0.42444619937620098</v>
      </c>
      <c r="Z45">
        <v>-0.37365593930478203</v>
      </c>
      <c r="AA45">
        <v>0.714484008318787</v>
      </c>
      <c r="AB45">
        <v>1.7803841664428901</v>
      </c>
      <c r="AC45">
        <v>0.62809595817509101</v>
      </c>
      <c r="AD45">
        <v>0.87909029574087905</v>
      </c>
      <c r="AE45">
        <v>1.0369177310728901</v>
      </c>
      <c r="AF45">
        <v>2.0607989891845002</v>
      </c>
      <c r="AG45">
        <v>1.10179645548657</v>
      </c>
      <c r="AH45">
        <v>-0.53611111074317996</v>
      </c>
      <c r="AI45">
        <v>0.577951353097228</v>
      </c>
      <c r="AJ45">
        <v>4.0267619391027099</v>
      </c>
      <c r="AK45">
        <v>1.20552299250297</v>
      </c>
      <c r="AL45">
        <v>2.0858554721649201</v>
      </c>
      <c r="AM45">
        <v>1.4526519120521599</v>
      </c>
      <c r="AN45">
        <v>1.36530199070047</v>
      </c>
      <c r="AO45">
        <v>5.7152700672170598</v>
      </c>
      <c r="AP45">
        <v>-0.75437368790530701</v>
      </c>
      <c r="AQ45">
        <v>-0.15717376980592601</v>
      </c>
      <c r="AR45">
        <v>79.734693877550995</v>
      </c>
      <c r="AS45">
        <v>0.22658139637074101</v>
      </c>
      <c r="AT45">
        <v>-0.14719164955723699</v>
      </c>
      <c r="AU45">
        <v>0.72727272727272696</v>
      </c>
      <c r="AV45">
        <v>0.73983739837398299</v>
      </c>
      <c r="AW45">
        <v>11.164383561643801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ED5DF-D545-4FEC-BE3F-442E6127F510}">
  <dimension ref="A1:L45"/>
  <sheetViews>
    <sheetView tabSelected="1" workbookViewId="0">
      <selection activeCell="K8" sqref="K8"/>
    </sheetView>
  </sheetViews>
  <sheetFormatPr defaultRowHeight="14.4" x14ac:dyDescent="0.3"/>
  <cols>
    <col min="11" max="11" width="12.21875" bestFit="1" customWidth="1"/>
    <col min="12" max="12" width="12" bestFit="1" customWidth="1"/>
  </cols>
  <sheetData>
    <row r="1" spans="1:12" x14ac:dyDescent="0.3">
      <c r="A1" t="s">
        <v>0</v>
      </c>
      <c r="B1" t="s">
        <v>1</v>
      </c>
      <c r="C1" t="s">
        <v>95</v>
      </c>
      <c r="D1" t="s">
        <v>105</v>
      </c>
      <c r="E1" t="s">
        <v>106</v>
      </c>
      <c r="F1" t="s">
        <v>119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5</v>
      </c>
    </row>
    <row r="2" spans="1:12" x14ac:dyDescent="0.3">
      <c r="A2" t="s">
        <v>77</v>
      </c>
      <c r="B2" t="s">
        <v>78</v>
      </c>
      <c r="C2">
        <v>1.2800452360894501</v>
      </c>
      <c r="D2">
        <v>0.70650651922194696</v>
      </c>
      <c r="E2">
        <v>2.0631213499178198</v>
      </c>
      <c r="F2">
        <v>-0.36321051311603703</v>
      </c>
      <c r="G2">
        <v>1.13983379584251</v>
      </c>
      <c r="H2">
        <v>-1.23806789135335</v>
      </c>
      <c r="I2">
        <v>2.9112719482846602E-2</v>
      </c>
      <c r="J2">
        <v>0.76670143213144204</v>
      </c>
      <c r="K2">
        <v>1</v>
      </c>
      <c r="L2">
        <v>3.9466873229124302E-2</v>
      </c>
    </row>
    <row r="3" spans="1:12" x14ac:dyDescent="0.3">
      <c r="A3" t="s">
        <v>19</v>
      </c>
      <c r="B3" t="s">
        <v>20</v>
      </c>
      <c r="C3">
        <v>-0.185263017309823</v>
      </c>
      <c r="D3">
        <v>1.28970860262297</v>
      </c>
      <c r="E3">
        <v>0.61557469770884399</v>
      </c>
      <c r="F3">
        <v>0.66006868190593204</v>
      </c>
      <c r="G3">
        <v>1.08066207670595</v>
      </c>
      <c r="H3">
        <v>0.53495160654916996</v>
      </c>
      <c r="I3">
        <v>0.67423580743639999</v>
      </c>
      <c r="J3">
        <v>0.63899587386414403</v>
      </c>
      <c r="K3">
        <v>0.92935264708441101</v>
      </c>
      <c r="L3">
        <v>3.6678643107631602E-2</v>
      </c>
    </row>
    <row r="4" spans="1:12" x14ac:dyDescent="0.3">
      <c r="A4" t="s">
        <v>23</v>
      </c>
      <c r="B4" t="s">
        <v>24</v>
      </c>
      <c r="C4">
        <v>1.26678032157549</v>
      </c>
      <c r="D4">
        <v>7.5119025460052599E-2</v>
      </c>
      <c r="E4">
        <v>1.3883262143516799</v>
      </c>
      <c r="F4">
        <v>0.279306646918698</v>
      </c>
      <c r="G4">
        <v>0.60728832361346397</v>
      </c>
      <c r="H4">
        <v>0.53495160654916996</v>
      </c>
      <c r="I4">
        <v>-0.53831150879350298</v>
      </c>
      <c r="J4">
        <v>0.63436861910622999</v>
      </c>
      <c r="K4">
        <v>0.92679282663220797</v>
      </c>
      <c r="L4">
        <v>3.6577614998355198E-2</v>
      </c>
    </row>
    <row r="5" spans="1:12" x14ac:dyDescent="0.3">
      <c r="A5" t="s">
        <v>13</v>
      </c>
      <c r="B5" t="s">
        <v>14</v>
      </c>
      <c r="C5">
        <v>-8.4800551462340001E-2</v>
      </c>
      <c r="D5">
        <v>1.82929289791482</v>
      </c>
      <c r="E5">
        <v>1.46907377299125</v>
      </c>
      <c r="F5">
        <v>2.5040200988400301E-2</v>
      </c>
      <c r="G5">
        <v>1.57583593684876</v>
      </c>
      <c r="H5">
        <v>-2.8711121657372498</v>
      </c>
      <c r="I5">
        <v>0.58542136475912998</v>
      </c>
      <c r="J5">
        <v>0.57423175757465095</v>
      </c>
      <c r="K5">
        <v>0.89352481435849895</v>
      </c>
      <c r="L5">
        <v>3.5264630575363699E-2</v>
      </c>
    </row>
    <row r="6" spans="1:12" x14ac:dyDescent="0.3">
      <c r="A6" t="s">
        <v>9</v>
      </c>
      <c r="B6" t="s">
        <v>10</v>
      </c>
      <c r="C6">
        <v>3.3267311780342301</v>
      </c>
      <c r="D6">
        <v>-0.91171241466461295</v>
      </c>
      <c r="E6">
        <v>2.5208306574964299</v>
      </c>
      <c r="F6">
        <v>-2.9657468920111398</v>
      </c>
      <c r="G6">
        <v>-0.545872156303709</v>
      </c>
      <c r="H6">
        <v>-2.7622425474449899</v>
      </c>
      <c r="I6">
        <v>2.0153883398038501</v>
      </c>
      <c r="J6">
        <v>0.56132255857761204</v>
      </c>
      <c r="K6">
        <v>0.886383380972393</v>
      </c>
      <c r="L6">
        <v>3.4982780529240101E-2</v>
      </c>
    </row>
    <row r="7" spans="1:12" x14ac:dyDescent="0.3">
      <c r="A7" t="s">
        <v>47</v>
      </c>
      <c r="B7" t="s">
        <v>48</v>
      </c>
      <c r="C7">
        <v>2.5104304683177601</v>
      </c>
      <c r="D7">
        <v>-0.76715828471344905</v>
      </c>
      <c r="E7">
        <v>1.9135902519003301</v>
      </c>
      <c r="F7">
        <v>-1.49000691813167</v>
      </c>
      <c r="G7">
        <v>-0.64551979879511101</v>
      </c>
      <c r="H7">
        <v>-0.76305937820914405</v>
      </c>
      <c r="I7">
        <v>1.0804849528140199</v>
      </c>
      <c r="J7">
        <v>0.54956237286873899</v>
      </c>
      <c r="K7">
        <v>0.87987758747835698</v>
      </c>
      <c r="L7">
        <v>3.4726017202156102E-2</v>
      </c>
    </row>
    <row r="8" spans="1:12" x14ac:dyDescent="0.3">
      <c r="A8" t="s">
        <v>35</v>
      </c>
      <c r="B8" t="s">
        <v>36</v>
      </c>
      <c r="C8">
        <v>0.3002642907434</v>
      </c>
      <c r="D8">
        <v>1.04632605678456</v>
      </c>
      <c r="E8">
        <v>1.10344063998204</v>
      </c>
      <c r="F8">
        <v>0.68360385515172795</v>
      </c>
      <c r="G8">
        <v>1.08066207670595</v>
      </c>
      <c r="H8">
        <v>0.53495160654916996</v>
      </c>
      <c r="I8">
        <v>-2.1195003093092799</v>
      </c>
      <c r="J8">
        <v>0.50797792041175804</v>
      </c>
      <c r="K8">
        <v>0.85687286060201595</v>
      </c>
      <c r="L8">
        <v>3.3818092562856901E-2</v>
      </c>
    </row>
    <row r="9" spans="1:12" x14ac:dyDescent="0.3">
      <c r="A9" t="s">
        <v>15</v>
      </c>
      <c r="B9" t="s">
        <v>16</v>
      </c>
      <c r="C9">
        <v>0.34746530687918498</v>
      </c>
      <c r="D9">
        <v>0.73507591894061197</v>
      </c>
      <c r="E9">
        <v>0.86545672079980895</v>
      </c>
      <c r="F9">
        <v>-3.80365840099081E-2</v>
      </c>
      <c r="G9">
        <v>0.54811660447690302</v>
      </c>
      <c r="H9">
        <v>0.53495160654916996</v>
      </c>
      <c r="I9">
        <v>-0.16395881719781899</v>
      </c>
      <c r="J9">
        <v>0.47770687030575598</v>
      </c>
      <c r="K9">
        <v>0.84012676443376599</v>
      </c>
      <c r="L9">
        <v>3.3157176508301897E-2</v>
      </c>
    </row>
    <row r="10" spans="1:12" x14ac:dyDescent="0.3">
      <c r="A10" t="s">
        <v>33</v>
      </c>
      <c r="B10" t="s">
        <v>34</v>
      </c>
      <c r="C10">
        <v>-0.35771025344740598</v>
      </c>
      <c r="D10">
        <v>0.92157555548910097</v>
      </c>
      <c r="E10">
        <v>5.45237884899714E-2</v>
      </c>
      <c r="F10">
        <v>1.02003092848772</v>
      </c>
      <c r="G10">
        <v>1.7315509872081301</v>
      </c>
      <c r="H10">
        <v>0.53495160654916996</v>
      </c>
      <c r="I10">
        <v>6.2781431939600299E-2</v>
      </c>
      <c r="J10">
        <v>0.458609313524796</v>
      </c>
      <c r="K10">
        <v>0.829561900601403</v>
      </c>
      <c r="L10">
        <v>3.2740214366746997E-2</v>
      </c>
    </row>
    <row r="11" spans="1:12" x14ac:dyDescent="0.3">
      <c r="A11" t="s">
        <v>7</v>
      </c>
      <c r="B11" t="s">
        <v>8</v>
      </c>
      <c r="C11">
        <v>-0.90708104705120696</v>
      </c>
      <c r="D11">
        <v>1.8136768368323599</v>
      </c>
      <c r="E11">
        <v>-0.15821863594956201</v>
      </c>
      <c r="F11">
        <v>1.43226270734039</v>
      </c>
      <c r="G11">
        <v>0.78480348102315001</v>
      </c>
      <c r="H11">
        <v>0.53495160654916996</v>
      </c>
      <c r="I11">
        <v>6.8651840133409706E-2</v>
      </c>
      <c r="J11">
        <v>0.43174239427093197</v>
      </c>
      <c r="K11">
        <v>0.81469898662933005</v>
      </c>
      <c r="L11">
        <v>3.2153621625195798E-2</v>
      </c>
    </row>
    <row r="12" spans="1:12" x14ac:dyDescent="0.3">
      <c r="A12" t="s">
        <v>21</v>
      </c>
      <c r="B12" t="s">
        <v>22</v>
      </c>
      <c r="C12">
        <v>-4.0167909594464096E-3</v>
      </c>
      <c r="D12">
        <v>0.66644317757470695</v>
      </c>
      <c r="E12">
        <v>0.34976487552168201</v>
      </c>
      <c r="F12">
        <v>0.51646803547482001</v>
      </c>
      <c r="G12">
        <v>1.3324859046592199</v>
      </c>
      <c r="H12">
        <v>-0.22389555428557001</v>
      </c>
      <c r="I12">
        <v>0.129997040061064</v>
      </c>
      <c r="J12">
        <v>0.37794379501834302</v>
      </c>
      <c r="K12">
        <v>0.78493733271754995</v>
      </c>
      <c r="L12">
        <v>3.09790222031705E-2</v>
      </c>
    </row>
    <row r="13" spans="1:12" x14ac:dyDescent="0.3">
      <c r="A13" t="s">
        <v>37</v>
      </c>
      <c r="B13" t="s">
        <v>38</v>
      </c>
      <c r="C13">
        <v>-0.25123281545128301</v>
      </c>
      <c r="D13">
        <v>0.53429572696723004</v>
      </c>
      <c r="E13">
        <v>-5.1085277108936199E-2</v>
      </c>
      <c r="F13">
        <v>0.74001196192926799</v>
      </c>
      <c r="G13">
        <v>1.2581772341156401</v>
      </c>
      <c r="H13">
        <v>0.53495160654916996</v>
      </c>
      <c r="I13">
        <v>0.41604249466274301</v>
      </c>
      <c r="J13">
        <v>0.34131385660708402</v>
      </c>
      <c r="K13">
        <v>0.76467346776658296</v>
      </c>
      <c r="L13">
        <v>3.01792708140186E-2</v>
      </c>
    </row>
    <row r="14" spans="1:12" x14ac:dyDescent="0.3">
      <c r="A14" t="s">
        <v>25</v>
      </c>
      <c r="B14" t="s">
        <v>26</v>
      </c>
      <c r="C14">
        <v>1.91434560192479</v>
      </c>
      <c r="D14">
        <v>-0.52389284105419498</v>
      </c>
      <c r="E14">
        <v>1.55373284595154</v>
      </c>
      <c r="F14">
        <v>-1.0482577934626101</v>
      </c>
      <c r="G14">
        <v>0.40495921946909302</v>
      </c>
      <c r="H14">
        <v>-1.77593564839249</v>
      </c>
      <c r="I14">
        <v>-0.23559837207234799</v>
      </c>
      <c r="J14">
        <v>0.323353861918593</v>
      </c>
      <c r="K14">
        <v>0.75473790896761395</v>
      </c>
      <c r="L14">
        <v>2.9787145374439199E-2</v>
      </c>
    </row>
    <row r="15" spans="1:12" x14ac:dyDescent="0.3">
      <c r="A15" t="s">
        <v>52</v>
      </c>
      <c r="B15" t="s">
        <v>53</v>
      </c>
      <c r="C15">
        <v>0.48184948211359202</v>
      </c>
      <c r="D15">
        <v>-0.21441578190437099</v>
      </c>
      <c r="E15">
        <v>0.34214678794876602</v>
      </c>
      <c r="F15">
        <v>-0.13166933117343499</v>
      </c>
      <c r="G15">
        <v>0.60728832361346397</v>
      </c>
      <c r="H15">
        <v>0.53495160654916996</v>
      </c>
      <c r="I15">
        <v>0.98862917563942598</v>
      </c>
      <c r="J15">
        <v>0.32183607509445999</v>
      </c>
      <c r="K15">
        <v>0.753898261712866</v>
      </c>
      <c r="L15">
        <v>2.9754007122678901E-2</v>
      </c>
    </row>
    <row r="16" spans="1:12" x14ac:dyDescent="0.3">
      <c r="A16" t="s">
        <v>27</v>
      </c>
      <c r="B16" t="s">
        <v>28</v>
      </c>
      <c r="C16">
        <v>-8.8029034495666E-2</v>
      </c>
      <c r="D16">
        <v>1.1160988029497501</v>
      </c>
      <c r="E16">
        <v>0.60008939492990698</v>
      </c>
      <c r="F16">
        <v>0.71081552051419195</v>
      </c>
      <c r="G16">
        <v>0.70383165483627597</v>
      </c>
      <c r="H16">
        <v>-1.35795407816328</v>
      </c>
      <c r="I16">
        <v>-0.104736605532607</v>
      </c>
      <c r="J16">
        <v>0.32082748184225701</v>
      </c>
      <c r="K16">
        <v>0.75334030288630005</v>
      </c>
      <c r="L16">
        <v>2.97319862324038E-2</v>
      </c>
    </row>
    <row r="17" spans="1:12" x14ac:dyDescent="0.3">
      <c r="A17" t="s">
        <v>11</v>
      </c>
      <c r="B17" t="s">
        <v>12</v>
      </c>
      <c r="C17">
        <v>-1.1374702885324099</v>
      </c>
      <c r="D17">
        <v>1.82147450975</v>
      </c>
      <c r="E17">
        <v>-0.60198195822849299</v>
      </c>
      <c r="F17">
        <v>1.4210642241148601</v>
      </c>
      <c r="G17">
        <v>0.31142972793065798</v>
      </c>
      <c r="H17">
        <v>0.53495160654916996</v>
      </c>
      <c r="I17">
        <v>0.33532065105914</v>
      </c>
      <c r="J17">
        <v>0.27668107356319999</v>
      </c>
      <c r="K17">
        <v>0.72891828924834901</v>
      </c>
      <c r="L17">
        <v>2.8768125716154801E-2</v>
      </c>
    </row>
    <row r="18" spans="1:12" x14ac:dyDescent="0.3">
      <c r="A18" t="s">
        <v>17</v>
      </c>
      <c r="B18" t="s">
        <v>18</v>
      </c>
      <c r="C18">
        <v>0.62120855251717699</v>
      </c>
      <c r="D18">
        <v>0.92517650693781095</v>
      </c>
      <c r="E18">
        <v>1.4294498572155501</v>
      </c>
      <c r="F18">
        <v>-0.15379904069514799</v>
      </c>
      <c r="G18">
        <v>-0.82762586544814998</v>
      </c>
      <c r="H18">
        <v>-1.2516765936398799</v>
      </c>
      <c r="I18">
        <v>-1.2188872973400999</v>
      </c>
      <c r="J18">
        <v>0.24996810362177899</v>
      </c>
      <c r="K18">
        <v>0.71414054080512901</v>
      </c>
      <c r="L18">
        <v>2.8184894191734301E-2</v>
      </c>
    </row>
    <row r="19" spans="1:12" x14ac:dyDescent="0.3">
      <c r="A19" t="s">
        <v>49</v>
      </c>
      <c r="B19" t="s">
        <v>49</v>
      </c>
      <c r="C19">
        <v>0.59264707812608997</v>
      </c>
      <c r="D19">
        <v>-0.13948748795604099</v>
      </c>
      <c r="E19">
        <v>0.50227855865938698</v>
      </c>
      <c r="F19">
        <v>5.3479536944897902E-3</v>
      </c>
      <c r="G19">
        <v>0.42977316620378098</v>
      </c>
      <c r="H19">
        <v>0.53495160654916996</v>
      </c>
      <c r="I19">
        <v>-0.56801232256437295</v>
      </c>
      <c r="J19">
        <v>0.231293670154194</v>
      </c>
      <c r="K19">
        <v>0.703809750903864</v>
      </c>
      <c r="L19">
        <v>2.7777170216344401E-2</v>
      </c>
    </row>
    <row r="20" spans="1:12" x14ac:dyDescent="0.3">
      <c r="A20" t="s">
        <v>29</v>
      </c>
      <c r="B20" t="s">
        <v>30</v>
      </c>
      <c r="C20">
        <v>-0.92460810486165101</v>
      </c>
      <c r="D20">
        <v>1.2077983331422799</v>
      </c>
      <c r="E20">
        <v>-0.60074107530314502</v>
      </c>
      <c r="F20">
        <v>0.86609002874411101</v>
      </c>
      <c r="G20">
        <v>0.903146919296272</v>
      </c>
      <c r="H20">
        <v>0.53495160654916996</v>
      </c>
      <c r="I20">
        <v>0.56836657939219004</v>
      </c>
      <c r="J20">
        <v>0.22374534399367099</v>
      </c>
      <c r="K20">
        <v>0.69963397915657499</v>
      </c>
      <c r="L20">
        <v>2.7612365562160401E-2</v>
      </c>
    </row>
    <row r="21" spans="1:12" x14ac:dyDescent="0.3">
      <c r="A21" t="s">
        <v>54</v>
      </c>
      <c r="B21" t="s">
        <v>55</v>
      </c>
      <c r="C21">
        <v>-0.14885300392224601</v>
      </c>
      <c r="D21">
        <v>0.478960557219684</v>
      </c>
      <c r="E21">
        <v>4.2784068772477202E-2</v>
      </c>
      <c r="F21">
        <v>0.60609576316411495</v>
      </c>
      <c r="G21">
        <v>0.60728832361346397</v>
      </c>
      <c r="H21">
        <v>0.53495160654916996</v>
      </c>
      <c r="I21">
        <v>-0.87172992779779801</v>
      </c>
      <c r="J21">
        <v>0.16223890096687801</v>
      </c>
      <c r="K21">
        <v>0.66560830755658595</v>
      </c>
      <c r="L21">
        <v>2.6269478694587799E-2</v>
      </c>
    </row>
    <row r="22" spans="1:12" x14ac:dyDescent="0.3">
      <c r="A22" t="s">
        <v>41</v>
      </c>
      <c r="B22" t="s">
        <v>42</v>
      </c>
      <c r="C22">
        <v>-0.52641975670549102</v>
      </c>
      <c r="D22">
        <v>0.676235301024673</v>
      </c>
      <c r="E22">
        <v>-0.32212122596192599</v>
      </c>
      <c r="F22">
        <v>0.80886395189623095</v>
      </c>
      <c r="G22">
        <v>0.903146919296272</v>
      </c>
      <c r="H22">
        <v>0.53495160654916996</v>
      </c>
      <c r="I22">
        <v>-0.60510903827822005</v>
      </c>
      <c r="J22">
        <v>0.12972420761779599</v>
      </c>
      <c r="K22">
        <v>0.64762101673587802</v>
      </c>
      <c r="L22">
        <v>2.5559576568031501E-2</v>
      </c>
    </row>
    <row r="23" spans="1:12" x14ac:dyDescent="0.3">
      <c r="A23" t="s">
        <v>31</v>
      </c>
      <c r="B23" t="s">
        <v>32</v>
      </c>
      <c r="C23">
        <v>-0.472699816663878</v>
      </c>
      <c r="D23">
        <v>-3.9711013394131203E-2</v>
      </c>
      <c r="E23">
        <v>-0.57873281059986803</v>
      </c>
      <c r="F23">
        <v>0.66768089051878798</v>
      </c>
      <c r="G23">
        <v>0.54811660447690302</v>
      </c>
      <c r="H23">
        <v>0.53495160654916996</v>
      </c>
      <c r="I23">
        <v>1.62488769094701</v>
      </c>
      <c r="J23">
        <v>0.119334951117612</v>
      </c>
      <c r="K23">
        <v>0.64187362812994997</v>
      </c>
      <c r="L23">
        <v>2.53327451105228E-2</v>
      </c>
    </row>
    <row r="24" spans="1:12" x14ac:dyDescent="0.3">
      <c r="A24" t="s">
        <v>39</v>
      </c>
      <c r="B24" t="s">
        <v>40</v>
      </c>
      <c r="C24">
        <v>0.43174666438954001</v>
      </c>
      <c r="D24">
        <v>-0.56021255470827203</v>
      </c>
      <c r="E24">
        <v>0.11011940104423699</v>
      </c>
      <c r="F24">
        <v>-0.35344685506280599</v>
      </c>
      <c r="G24">
        <v>0.72563176188658796</v>
      </c>
      <c r="H24">
        <v>0.53495160654916996</v>
      </c>
      <c r="I24">
        <v>0.13784866868832499</v>
      </c>
      <c r="J24">
        <v>0.100829220351228</v>
      </c>
      <c r="K24">
        <v>0.63163616540591505</v>
      </c>
      <c r="L24">
        <v>2.49287044670055E-2</v>
      </c>
    </row>
    <row r="25" spans="1:12" x14ac:dyDescent="0.3">
      <c r="A25" t="s">
        <v>43</v>
      </c>
      <c r="B25" t="s">
        <v>44</v>
      </c>
      <c r="C25">
        <v>-0.278666817362067</v>
      </c>
      <c r="D25">
        <v>0.26809994607235299</v>
      </c>
      <c r="E25">
        <v>-0.22809135481633599</v>
      </c>
      <c r="F25">
        <v>0.66343087095254605</v>
      </c>
      <c r="G25">
        <v>0.31142972793065798</v>
      </c>
      <c r="H25">
        <v>0.53495160654916996</v>
      </c>
      <c r="I25">
        <v>-0.69516601251435695</v>
      </c>
      <c r="J25">
        <v>3.3732974070591698E-2</v>
      </c>
      <c r="K25">
        <v>0.59451818671639101</v>
      </c>
      <c r="L25">
        <v>2.3463773907544699E-2</v>
      </c>
    </row>
    <row r="26" spans="1:12" x14ac:dyDescent="0.3">
      <c r="A26" t="s">
        <v>45</v>
      </c>
      <c r="B26" t="s">
        <v>46</v>
      </c>
      <c r="C26">
        <v>-4.8302073022078701E-2</v>
      </c>
      <c r="D26">
        <v>-0.21704528270894999</v>
      </c>
      <c r="E26">
        <v>-0.20557286304557201</v>
      </c>
      <c r="F26">
        <v>0.47722651799150201</v>
      </c>
      <c r="G26">
        <v>0.48894488534034197</v>
      </c>
      <c r="H26">
        <v>0.53495160654916996</v>
      </c>
      <c r="I26">
        <v>-0.24995257762774201</v>
      </c>
      <c r="J26">
        <v>3.0932999470007001E-2</v>
      </c>
      <c r="K26">
        <v>0.59296922677724595</v>
      </c>
      <c r="L26">
        <v>2.3402641301989401E-2</v>
      </c>
    </row>
    <row r="27" spans="1:12" x14ac:dyDescent="0.3">
      <c r="A27" t="s">
        <v>58</v>
      </c>
      <c r="B27" t="s">
        <v>59</v>
      </c>
      <c r="C27">
        <v>-0.58511779657523999</v>
      </c>
      <c r="D27">
        <v>-6.5342726463384704E-3</v>
      </c>
      <c r="E27">
        <v>-0.68789907736518296</v>
      </c>
      <c r="F27">
        <v>0.491353955958163</v>
      </c>
      <c r="G27">
        <v>0.25225800879409499</v>
      </c>
      <c r="H27">
        <v>0.53495160654916996</v>
      </c>
      <c r="I27">
        <v>1.4753411949825801</v>
      </c>
      <c r="J27">
        <v>1.9480247311048901E-2</v>
      </c>
      <c r="K27">
        <v>0.58663350705911799</v>
      </c>
      <c r="L27">
        <v>2.3152590255058801E-2</v>
      </c>
    </row>
    <row r="28" spans="1:12" x14ac:dyDescent="0.3">
      <c r="A28" t="s">
        <v>56</v>
      </c>
      <c r="B28" t="s">
        <v>57</v>
      </c>
      <c r="C28">
        <v>-0.67691953949415196</v>
      </c>
      <c r="D28">
        <v>0.24764520719612099</v>
      </c>
      <c r="E28">
        <v>-0.69816558010234497</v>
      </c>
      <c r="F28">
        <v>1.04080024640765</v>
      </c>
      <c r="G28">
        <v>-0.16194402516183401</v>
      </c>
      <c r="H28">
        <v>0.53495160654916996</v>
      </c>
      <c r="I28">
        <v>-0.43578647959938799</v>
      </c>
      <c r="J28">
        <v>-0.127685847660515</v>
      </c>
      <c r="K28">
        <v>0.50522048800396002</v>
      </c>
      <c r="L28">
        <v>1.9939472952808599E-2</v>
      </c>
    </row>
    <row r="29" spans="1:12" x14ac:dyDescent="0.3">
      <c r="A29" t="s">
        <v>62</v>
      </c>
      <c r="B29" t="s">
        <v>63</v>
      </c>
      <c r="C29">
        <v>-0.41023658351981601</v>
      </c>
      <c r="D29">
        <v>-0.74342876879854702</v>
      </c>
      <c r="E29">
        <v>-0.74802548308624905</v>
      </c>
      <c r="F29">
        <v>0.26795663873881098</v>
      </c>
      <c r="G29">
        <v>0.25225800879409499</v>
      </c>
      <c r="H29">
        <v>0.53495160654916996</v>
      </c>
      <c r="I29">
        <v>0.205328332069976</v>
      </c>
      <c r="J29">
        <v>-0.25428870846571699</v>
      </c>
      <c r="K29">
        <v>0.43518315283404202</v>
      </c>
      <c r="L29">
        <v>1.7175318324351801E-2</v>
      </c>
    </row>
    <row r="30" spans="1:12" x14ac:dyDescent="0.3">
      <c r="A30" t="s">
        <v>66</v>
      </c>
      <c r="B30" t="s">
        <v>67</v>
      </c>
      <c r="C30">
        <v>-0.71010619153374499</v>
      </c>
      <c r="D30">
        <v>0.16423982672985299</v>
      </c>
      <c r="E30">
        <v>-0.76621097963363904</v>
      </c>
      <c r="F30">
        <v>0.40944176234024998</v>
      </c>
      <c r="G30">
        <v>-1.2270349696199301</v>
      </c>
      <c r="H30">
        <v>0.53495160654916996</v>
      </c>
      <c r="I30">
        <v>0.28094881867052601</v>
      </c>
      <c r="J30">
        <v>-0.26258474709350499</v>
      </c>
      <c r="K30">
        <v>0.430593742813908</v>
      </c>
      <c r="L30">
        <v>1.69941886608907E-2</v>
      </c>
    </row>
    <row r="31" spans="1:12" x14ac:dyDescent="0.3">
      <c r="A31" t="s">
        <v>64</v>
      </c>
      <c r="B31" t="s">
        <v>65</v>
      </c>
      <c r="C31">
        <v>-0.718413505255316</v>
      </c>
      <c r="D31">
        <v>1.0953452719108201E-2</v>
      </c>
      <c r="E31">
        <v>-0.82670013444687995</v>
      </c>
      <c r="F31">
        <v>0.49787542397455398</v>
      </c>
      <c r="G31">
        <v>-0.16194402516183401</v>
      </c>
      <c r="H31">
        <v>0.53495160654916996</v>
      </c>
      <c r="I31">
        <v>-0.69459282662479704</v>
      </c>
      <c r="J31">
        <v>-0.289203019522908</v>
      </c>
      <c r="K31">
        <v>0.415868381507494</v>
      </c>
      <c r="L31">
        <v>1.6413024692957402E-2</v>
      </c>
    </row>
    <row r="32" spans="1:12" x14ac:dyDescent="0.3">
      <c r="A32" t="s">
        <v>68</v>
      </c>
      <c r="B32" t="s">
        <v>69</v>
      </c>
      <c r="C32">
        <v>-1.1941136242458401</v>
      </c>
      <c r="D32">
        <v>0.74619888101263698</v>
      </c>
      <c r="E32">
        <v>-1.1701996646914701</v>
      </c>
      <c r="F32">
        <v>0.85542135618220105</v>
      </c>
      <c r="G32">
        <v>-0.193556313467667</v>
      </c>
      <c r="H32">
        <v>-0.73195377298278397</v>
      </c>
      <c r="I32">
        <v>0.246181022335554</v>
      </c>
      <c r="J32">
        <v>-0.30601365237820699</v>
      </c>
      <c r="K32">
        <v>0.40656865541744402</v>
      </c>
      <c r="L32">
        <v>1.60459935822958E-2</v>
      </c>
    </row>
    <row r="33" spans="1:12" x14ac:dyDescent="0.3">
      <c r="A33" t="s">
        <v>60</v>
      </c>
      <c r="B33" t="s">
        <v>61</v>
      </c>
      <c r="C33">
        <v>-0.40188676507614601</v>
      </c>
      <c r="D33">
        <v>-0.283714900373084</v>
      </c>
      <c r="E33">
        <v>-0.59372904586137398</v>
      </c>
      <c r="F33">
        <v>-0.17349301582754301</v>
      </c>
      <c r="G33">
        <v>-1.1678632504833699</v>
      </c>
      <c r="H33">
        <v>0.53495160654916996</v>
      </c>
      <c r="I33">
        <v>0.259595968001055</v>
      </c>
      <c r="J33">
        <v>-0.31054701143819002</v>
      </c>
      <c r="K33">
        <v>0.40406077853448702</v>
      </c>
      <c r="L33">
        <v>1.5947015523281899E-2</v>
      </c>
    </row>
    <row r="34" spans="1:12" x14ac:dyDescent="0.3">
      <c r="A34" t="s">
        <v>50</v>
      </c>
      <c r="B34" t="s">
        <v>51</v>
      </c>
      <c r="C34">
        <v>1.4402534748553599</v>
      </c>
      <c r="D34">
        <v>-1.5223875811142</v>
      </c>
      <c r="E34">
        <v>0.52260383325652204</v>
      </c>
      <c r="F34">
        <v>-0.86779064419898</v>
      </c>
      <c r="G34">
        <v>-0.22111574429839501</v>
      </c>
      <c r="H34">
        <v>0.53495160654916996</v>
      </c>
      <c r="I34">
        <v>-3.8568118138699701</v>
      </c>
      <c r="J34">
        <v>-0.35298271418228</v>
      </c>
      <c r="K34">
        <v>0.38058513574603697</v>
      </c>
      <c r="L34">
        <v>1.50205053053779E-2</v>
      </c>
    </row>
    <row r="35" spans="1:12" x14ac:dyDescent="0.3">
      <c r="A35" t="s">
        <v>83</v>
      </c>
      <c r="B35" t="s">
        <v>84</v>
      </c>
      <c r="C35">
        <v>-0.555503952287418</v>
      </c>
      <c r="D35">
        <v>-0.118331530883673</v>
      </c>
      <c r="E35">
        <v>-0.69512599039991896</v>
      </c>
      <c r="F35">
        <v>-8.7377818730023996E-3</v>
      </c>
      <c r="G35">
        <v>-1.1678632504833699</v>
      </c>
      <c r="H35">
        <v>0.53495160654916996</v>
      </c>
      <c r="I35">
        <v>-0.50413153008407896</v>
      </c>
      <c r="J35">
        <v>-0.38837039030333098</v>
      </c>
      <c r="K35">
        <v>0.36100849650098799</v>
      </c>
      <c r="L35">
        <v>1.42478765660413E-2</v>
      </c>
    </row>
    <row r="36" spans="1:12" x14ac:dyDescent="0.3">
      <c r="A36" t="s">
        <v>79</v>
      </c>
      <c r="B36" t="s">
        <v>80</v>
      </c>
      <c r="C36">
        <v>-1.20336381223487E-2</v>
      </c>
      <c r="D36">
        <v>-0.85685614414019895</v>
      </c>
      <c r="E36">
        <v>-0.42262490913070799</v>
      </c>
      <c r="F36">
        <v>-0.29222283281575301</v>
      </c>
      <c r="G36">
        <v>-0.99034809307369398</v>
      </c>
      <c r="H36">
        <v>0.53495160654916996</v>
      </c>
      <c r="I36">
        <v>-0.59286320382547197</v>
      </c>
      <c r="J36">
        <v>-0.392351190595226</v>
      </c>
      <c r="K36">
        <v>0.35880629788940299</v>
      </c>
      <c r="L36">
        <v>1.41609626726125E-2</v>
      </c>
    </row>
    <row r="37" spans="1:12" x14ac:dyDescent="0.3">
      <c r="A37" t="s">
        <v>75</v>
      </c>
      <c r="B37" t="s">
        <v>76</v>
      </c>
      <c r="C37">
        <v>0.65651024695364102</v>
      </c>
      <c r="D37">
        <v>-1.8137146521054099</v>
      </c>
      <c r="E37">
        <v>-0.19768953631736</v>
      </c>
      <c r="F37">
        <v>-1.45614719188049</v>
      </c>
      <c r="G37">
        <v>-0.60721947587104097</v>
      </c>
      <c r="H37">
        <v>-8.1328196998087604E-2</v>
      </c>
      <c r="I37">
        <v>8.2728675674907895E-2</v>
      </c>
      <c r="J37">
        <v>-0.47717540720129697</v>
      </c>
      <c r="K37">
        <v>0.31188111743786401</v>
      </c>
      <c r="L37">
        <v>1.2308972524477799E-2</v>
      </c>
    </row>
    <row r="38" spans="1:12" x14ac:dyDescent="0.3">
      <c r="A38" t="s">
        <v>81</v>
      </c>
      <c r="B38" t="s">
        <v>82</v>
      </c>
      <c r="C38">
        <v>0.42050601291772299</v>
      </c>
      <c r="D38">
        <v>-0.37523059092987998</v>
      </c>
      <c r="E38">
        <v>0.19196519724873801</v>
      </c>
      <c r="F38">
        <v>-1.8245084068186399</v>
      </c>
      <c r="G38">
        <v>-2.1625878262385401</v>
      </c>
      <c r="H38">
        <v>-2.8821287342549202</v>
      </c>
      <c r="I38">
        <v>1.088177725132</v>
      </c>
      <c r="J38">
        <v>-0.53065660037069395</v>
      </c>
      <c r="K38">
        <v>0.282295054157229</v>
      </c>
      <c r="L38">
        <v>1.1141303115632099E-2</v>
      </c>
    </row>
    <row r="39" spans="1:12" x14ac:dyDescent="0.3">
      <c r="A39" t="s">
        <v>70</v>
      </c>
      <c r="B39" t="s">
        <v>71</v>
      </c>
      <c r="C39">
        <v>-0.93922206316176804</v>
      </c>
      <c r="D39">
        <v>-0.40532013589952198</v>
      </c>
      <c r="E39">
        <v>-1.16586093355484</v>
      </c>
      <c r="F39">
        <v>-4.75792360944556E-2</v>
      </c>
      <c r="G39">
        <v>-0.93117637393713304</v>
      </c>
      <c r="H39">
        <v>0.53495160654916996</v>
      </c>
      <c r="I39">
        <v>8.8465229165089795E-2</v>
      </c>
      <c r="J39">
        <v>-0.53761450395495902</v>
      </c>
      <c r="K39">
        <v>0.27844590712917799</v>
      </c>
      <c r="L39">
        <v>1.09893893178358E-2</v>
      </c>
    </row>
    <row r="40" spans="1:12" x14ac:dyDescent="0.3">
      <c r="A40" t="s">
        <v>91</v>
      </c>
      <c r="B40" t="s">
        <v>92</v>
      </c>
      <c r="C40">
        <v>1.2046922532014299</v>
      </c>
      <c r="D40">
        <v>-2.2413356275129601</v>
      </c>
      <c r="E40">
        <v>5.5676769729477098E-2</v>
      </c>
      <c r="F40">
        <v>-3.3192660349110601</v>
      </c>
      <c r="G40">
        <v>-2.1952396960700199E-2</v>
      </c>
      <c r="H40">
        <v>-1.1790968481116999</v>
      </c>
      <c r="I40">
        <v>0.972069021345217</v>
      </c>
      <c r="J40">
        <v>-0.55101794678023497</v>
      </c>
      <c r="K40">
        <v>0.271031055587797</v>
      </c>
      <c r="L40">
        <v>1.06967483120393E-2</v>
      </c>
    </row>
    <row r="41" spans="1:12" x14ac:dyDescent="0.3">
      <c r="A41" t="s">
        <v>89</v>
      </c>
      <c r="B41" t="s">
        <v>90</v>
      </c>
      <c r="C41">
        <v>-1.4882482582383401</v>
      </c>
      <c r="D41">
        <v>0.38688440410456898</v>
      </c>
      <c r="E41">
        <v>-1.6163092396832099</v>
      </c>
      <c r="F41">
        <v>0.87148916405575305</v>
      </c>
      <c r="G41">
        <v>-1.99626731839523</v>
      </c>
      <c r="H41">
        <v>0.53495160654916996</v>
      </c>
      <c r="I41">
        <v>0.50260766425923398</v>
      </c>
      <c r="J41">
        <v>-0.55225650711650598</v>
      </c>
      <c r="K41">
        <v>0.27034587782129299</v>
      </c>
      <c r="L41">
        <v>1.0669706487989299E-2</v>
      </c>
    </row>
    <row r="42" spans="1:12" x14ac:dyDescent="0.3">
      <c r="A42" t="s">
        <v>72</v>
      </c>
      <c r="B42" t="s">
        <v>72</v>
      </c>
      <c r="C42">
        <v>-1.0079049412157599</v>
      </c>
      <c r="D42">
        <v>-1.02003470697364</v>
      </c>
      <c r="E42">
        <v>-1.3421560864181701</v>
      </c>
      <c r="F42">
        <v>-0.111994204141651</v>
      </c>
      <c r="G42">
        <v>-1.10869153134681</v>
      </c>
      <c r="H42">
        <v>0.53495160654916996</v>
      </c>
      <c r="I42">
        <v>0.119932086951063</v>
      </c>
      <c r="J42">
        <v>-0.73059935112034002</v>
      </c>
      <c r="K42">
        <v>0.17168572542654001</v>
      </c>
      <c r="L42">
        <v>6.7758987606595204E-3</v>
      </c>
    </row>
    <row r="43" spans="1:12" x14ac:dyDescent="0.3">
      <c r="A43" t="s">
        <v>87</v>
      </c>
      <c r="B43" t="s">
        <v>88</v>
      </c>
      <c r="C43">
        <v>-0.80810044480533305</v>
      </c>
      <c r="D43">
        <v>-1.6431965354549201</v>
      </c>
      <c r="E43">
        <v>-1.2737407272433099</v>
      </c>
      <c r="F43">
        <v>-0.39258294735166799</v>
      </c>
      <c r="G43">
        <v>-2.3512976332146001</v>
      </c>
      <c r="H43">
        <v>0.53495160654916996</v>
      </c>
      <c r="I43">
        <v>0.88174945315852205</v>
      </c>
      <c r="J43">
        <v>-0.87772549358657204</v>
      </c>
      <c r="K43">
        <v>9.0294808296955201E-2</v>
      </c>
      <c r="L43">
        <v>3.5636537523040198E-3</v>
      </c>
    </row>
    <row r="44" spans="1:12" x14ac:dyDescent="0.3">
      <c r="A44" t="s">
        <v>73</v>
      </c>
      <c r="B44" t="s">
        <v>74</v>
      </c>
      <c r="C44">
        <v>-0.89435058223713704</v>
      </c>
      <c r="D44">
        <v>-1.7791482996833199</v>
      </c>
      <c r="E44">
        <v>-1.35892046003581</v>
      </c>
      <c r="F44">
        <v>-0.51342023674815696</v>
      </c>
      <c r="G44">
        <v>-1.1678632504833699</v>
      </c>
      <c r="H44">
        <v>0.53495160654916996</v>
      </c>
      <c r="I44">
        <v>0.38681011509371699</v>
      </c>
      <c r="J44">
        <v>-0.88243604495011896</v>
      </c>
      <c r="K44">
        <v>8.7688907746323597E-2</v>
      </c>
      <c r="L44">
        <v>3.4608070056245301E-3</v>
      </c>
    </row>
    <row r="45" spans="1:12" x14ac:dyDescent="0.3">
      <c r="A45" t="s">
        <v>85</v>
      </c>
      <c r="B45" t="s">
        <v>86</v>
      </c>
      <c r="C45">
        <v>-0.97816491162348995</v>
      </c>
      <c r="D45">
        <v>-1.4849166390474799</v>
      </c>
      <c r="E45">
        <v>-1.38464663493216</v>
      </c>
      <c r="F45">
        <v>-0.46583082712100099</v>
      </c>
      <c r="G45">
        <v>-0.93117637393713304</v>
      </c>
      <c r="H45">
        <v>0.53495160654916996</v>
      </c>
      <c r="I45">
        <v>-1.8519554206267199</v>
      </c>
      <c r="J45">
        <v>-1.04094673863419</v>
      </c>
      <c r="K45">
        <v>0</v>
      </c>
      <c r="L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Sheet5</vt:lpstr>
      <vt:lpstr>Sheet1</vt:lpstr>
      <vt:lpstr>Sheet2</vt:lpstr>
      <vt:lpstr>Sheet4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Moustafa Chatzouz</cp:lastModifiedBy>
  <cp:revision>3</cp:revision>
  <dcterms:modified xsi:type="dcterms:W3CDTF">2023-05-31T16:48:26Z</dcterms:modified>
</cp:coreProperties>
</file>