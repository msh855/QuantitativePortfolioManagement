
<file path=[Content_Types].xml><?xml version="1.0" encoding="utf-8"?>
<Types xmlns="http://schemas.openxmlformats.org/package/2006/content-types">
  <Default Extension="wmf" ContentType="image/x-wmf"/>
  <Default Extension="png" ContentType="image/png"/>
  <Default Extension="xml" ContentType="application/xml"/>
  <Default Extension="jpeg" ContentType="image/jpeg"/>
  <Default Extension="rels" ContentType="application/vnd.openxmlformats-package.relationships+xml"/>
  <Default Extension="bin" ContentType="application/vnd.openxmlformats-officedocument.oleObject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0"/>
  </bookViews>
  <sheets>
    <sheet name="Portfolio_Stocks" sheetId="1" state="visible" r:id="rId1"/>
    <sheet name="Sheet1" sheetId="2" state="visible" r:id="rId2"/>
    <sheet name="Sheet2" sheetId="3" state="visible" r:id="rId3"/>
    <sheet name="BBPTACShadowWks0001" sheetId="4" state="hidden" r:id="rId4"/>
  </sheets>
  <calcPr/>
</workbook>
</file>

<file path=xl/sharedStrings.xml><?xml version="1.0" encoding="utf-8"?>
<sst xmlns="http://schemas.openxmlformats.org/spreadsheetml/2006/main" count="116" uniqueCount="116">
  <si>
    <t>YahooTicker</t>
  </si>
  <si>
    <t>Company</t>
  </si>
  <si>
    <t>Adjusted_weight</t>
  </si>
  <si>
    <t>MRNA</t>
  </si>
  <si>
    <t>Moderna</t>
  </si>
  <si>
    <t>JNJ</t>
  </si>
  <si>
    <t>Johnson</t>
  </si>
  <si>
    <t>NOW</t>
  </si>
  <si>
    <t>ServiceNow</t>
  </si>
  <si>
    <t>HUBS</t>
  </si>
  <si>
    <t>HubSpot</t>
  </si>
  <si>
    <t>NESN.SW</t>
  </si>
  <si>
    <t>Nestle</t>
  </si>
  <si>
    <t>SMT.L</t>
  </si>
  <si>
    <t>SMT</t>
  </si>
  <si>
    <t>9984.T</t>
  </si>
  <si>
    <t>SoftBank</t>
  </si>
  <si>
    <t>AZN.L</t>
  </si>
  <si>
    <t>AstraZeneca</t>
  </si>
  <si>
    <t>ABBV</t>
  </si>
  <si>
    <t>Abbvie</t>
  </si>
  <si>
    <t>PANW</t>
  </si>
  <si>
    <t xml:space="preserve">Palo Alto</t>
  </si>
  <si>
    <t>V</t>
  </si>
  <si>
    <t>Visa</t>
  </si>
  <si>
    <t>LIN</t>
  </si>
  <si>
    <t>Linde</t>
  </si>
  <si>
    <t>AAPL</t>
  </si>
  <si>
    <t>Apple</t>
  </si>
  <si>
    <t>ECL</t>
  </si>
  <si>
    <t xml:space="preserve">Ecolab Inc.</t>
  </si>
  <si>
    <t>EL</t>
  </si>
  <si>
    <t xml:space="preserve">Estee Lauder</t>
  </si>
  <si>
    <t>TM</t>
  </si>
  <si>
    <t>Toyota</t>
  </si>
  <si>
    <t>SHW</t>
  </si>
  <si>
    <t xml:space="preserve">The Sherwin-Williams Company</t>
  </si>
  <si>
    <t>GOOGL</t>
  </si>
  <si>
    <t xml:space="preserve">Alphabet Inc.</t>
  </si>
  <si>
    <t>CRM</t>
  </si>
  <si>
    <t>Salesforce</t>
  </si>
  <si>
    <t>FAS.L</t>
  </si>
  <si>
    <t xml:space="preserve">Fidelity Asian</t>
  </si>
  <si>
    <t>COST</t>
  </si>
  <si>
    <t>Costco</t>
  </si>
  <si>
    <t>NVO</t>
  </si>
  <si>
    <t xml:space="preserve">Novo Nordisk</t>
  </si>
  <si>
    <t>HVPE.L</t>
  </si>
  <si>
    <t>HarbourVest</t>
  </si>
  <si>
    <t>TSLA</t>
  </si>
  <si>
    <t>Tesla</t>
  </si>
  <si>
    <t>WM</t>
  </si>
  <si>
    <t xml:space="preserve">Waste Management</t>
  </si>
  <si>
    <t>DG.PA</t>
  </si>
  <si>
    <t>VINCI</t>
  </si>
  <si>
    <t>DE</t>
  </si>
  <si>
    <t>Deere</t>
  </si>
  <si>
    <t>TMO</t>
  </si>
  <si>
    <t xml:space="preserve">Thermo Fisher</t>
  </si>
  <si>
    <t>MELI</t>
  </si>
  <si>
    <t>MercadoLibre</t>
  </si>
  <si>
    <t>MC.PA</t>
  </si>
  <si>
    <t>LVMH</t>
  </si>
  <si>
    <t>JPM</t>
  </si>
  <si>
    <t>JPMorgan</t>
  </si>
  <si>
    <t>MSFT</t>
  </si>
  <si>
    <t xml:space="preserve">Microsoft Corp</t>
  </si>
  <si>
    <t>RIO</t>
  </si>
  <si>
    <t xml:space="preserve">Rio Tinto</t>
  </si>
  <si>
    <t>ASML</t>
  </si>
  <si>
    <t>BHP</t>
  </si>
  <si>
    <t>AMAT</t>
  </si>
  <si>
    <t xml:space="preserve">Applied Materials, Inc.</t>
  </si>
  <si>
    <t>HON</t>
  </si>
  <si>
    <t xml:space="preserve">Honeywell International</t>
  </si>
  <si>
    <t>SMSN.IL</t>
  </si>
  <si>
    <t xml:space="preserve">Samsung Electronics</t>
  </si>
  <si>
    <t>NKE</t>
  </si>
  <si>
    <t xml:space="preserve">NIKE, Inc.</t>
  </si>
  <si>
    <t>ODFL</t>
  </si>
  <si>
    <t xml:space="preserve">Old Dominion Freight Line, Inc.</t>
  </si>
  <si>
    <t>AMZN</t>
  </si>
  <si>
    <t>Amazon</t>
  </si>
  <si>
    <t>XOM</t>
  </si>
  <si>
    <t xml:space="preserve">Exxon Mobil Corporation</t>
  </si>
  <si>
    <t>ALB</t>
  </si>
  <si>
    <t>Albemarle</t>
  </si>
  <si>
    <t>NVDA</t>
  </si>
  <si>
    <t>NVIDIA</t>
  </si>
  <si>
    <t>CRWD</t>
  </si>
  <si>
    <t>CrowdStrike</t>
  </si>
  <si>
    <t>LRCX</t>
  </si>
  <si>
    <t xml:space="preserve">Lam Research Corporation</t>
  </si>
  <si>
    <t>III.L</t>
  </si>
  <si>
    <t xml:space="preserve">3i Group</t>
  </si>
  <si>
    <t>NIO</t>
  </si>
  <si>
    <t>Nio</t>
  </si>
  <si>
    <t>CNR.TO</t>
  </si>
  <si>
    <t xml:space="preserve">Canadian National Railway</t>
  </si>
  <si>
    <t>PG</t>
  </si>
  <si>
    <t xml:space="preserve">The Procter &amp; Gamble Company</t>
  </si>
  <si>
    <t>port_inverse_vol</t>
  </si>
  <si>
    <t>port_naive</t>
  </si>
  <si>
    <t>port_min_vol</t>
  </si>
  <si>
    <t>weight</t>
  </si>
  <si>
    <t>weight_eq_zscore</t>
  </si>
  <si>
    <t>Average_Growth_Fair_Price</t>
  </si>
  <si>
    <t>Second_Valuation_Critirion</t>
  </si>
  <si>
    <t>Undervalued_Chances</t>
  </si>
  <si>
    <t xml:space="preserve">Adjusted_weight </t>
  </si>
  <si>
    <t>Undervalued</t>
  </si>
  <si>
    <t>Overvalued</t>
  </si>
  <si>
    <t>CTVA</t>
  </si>
  <si>
    <t>Corteva</t>
  </si>
  <si>
    <t>ENPH</t>
  </si>
  <si>
    <t xml:space="preserve">Enphase Energy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</si>
</sst>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0" formatCode="0.0%"/>
  </numFmts>
  <fonts count="2">
    <font>
      <sz val="11.000000"/>
      <color theme="1"/>
      <name val="Calibri"/>
      <scheme val="minor"/>
    </font>
    <font>
      <sz val="11.000000"/>
      <color indexed="2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">
    <xf fontId="0" fillId="0" borderId="0" numFmtId="0" xfId="0"/>
    <xf fontId="0" fillId="0" borderId="0" numFmtId="0" xfId="0">
      <protection hidden="0" locked="1"/>
    </xf>
    <xf fontId="0" fillId="0" borderId="0" numFmtId="0" xfId="0"/>
    <xf fontId="0" fillId="0" borderId="0" numFmtId="160" xfId="1" applyNumberFormat="1"/>
    <xf fontId="1" fillId="0" borderId="0" numFmtId="0" xfId="0" applyFont="1">
      <protection hidden="0" locked="1"/>
    </xf>
    <xf fontId="1" fillId="0" borderId="0" numFmtId="160" xfId="1" applyNumberFormat="1" applyFont="1"/>
    <xf fontId="0" fillId="0" borderId="0" numFmtId="160" xfId="0" applyNumberFormat="1"/>
    <xf fontId="0" fillId="0" borderId="0" numFmtId="0" xfId="0"/>
    <xf fontId="0" fillId="0" borderId="0" numFmtId="9" xfId="1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4.xml"/><Relationship  Id="rId3" Type="http://schemas.openxmlformats.org/officeDocument/2006/relationships/worksheet" Target="worksheets/sheet3.xml"/><Relationship  Id="rId2" Type="http://schemas.openxmlformats.org/officeDocument/2006/relationships/worksheet" Target="worksheets/sheet2.xml"/><Relationship  Id="rId1" Type="http://schemas.openxmlformats.org/officeDocument/2006/relationships/worksheet" Target="worksheets/sheet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4" zoomScale="100" workbookViewId="0">
      <selection activeCell="A1" activeCellId="0" sqref="A1"/>
    </sheetView>
  </sheetViews>
  <sheetFormatPr defaultRowHeight="14.25"/>
  <cols>
    <col bestFit="1" customWidth="1" min="1" max="1" width="11.140625"/>
    <col bestFit="1" min="2" max="2" width="28.140625"/>
  </cols>
  <sheetData>
    <row r="1" ht="14.25">
      <c r="A1" s="1" t="s">
        <v>0</v>
      </c>
      <c r="B1" s="1" t="s">
        <v>1</v>
      </c>
      <c r="C1" s="2" t="s">
        <v>2</v>
      </c>
    </row>
    <row r="2" ht="14.25">
      <c r="A2" s="1" t="s">
        <v>3</v>
      </c>
      <c r="B2" s="1" t="s">
        <v>4</v>
      </c>
      <c r="C2" s="3">
        <v>5.0000000000000003e-02</v>
      </c>
    </row>
    <row r="3" ht="14.25">
      <c r="A3" s="1" t="s">
        <v>5</v>
      </c>
      <c r="B3" s="1" t="s">
        <v>6</v>
      </c>
      <c r="C3" s="3">
        <v>4.0000000000000001e-02</v>
      </c>
    </row>
    <row r="4" ht="14.25">
      <c r="A4" s="4" t="s">
        <v>7</v>
      </c>
      <c r="B4" s="4" t="s">
        <v>8</v>
      </c>
      <c r="C4" s="5">
        <v>2.9999999999999999e-02</v>
      </c>
    </row>
    <row r="5" ht="14.25">
      <c r="A5" s="4" t="s">
        <v>9</v>
      </c>
      <c r="B5" s="4" t="s">
        <v>10</v>
      </c>
      <c r="C5" s="5">
        <v>2.9999999999999999e-02</v>
      </c>
    </row>
    <row r="6" ht="14.25">
      <c r="A6" s="4" t="s">
        <v>11</v>
      </c>
      <c r="B6" s="4" t="s">
        <v>12</v>
      </c>
      <c r="C6" s="5">
        <v>2.9999999999999999e-02</v>
      </c>
    </row>
    <row r="7" ht="14.25">
      <c r="A7" s="4" t="s">
        <v>13</v>
      </c>
      <c r="B7" s="4" t="s">
        <v>14</v>
      </c>
      <c r="C7" s="5">
        <v>2.9999999999999999e-02</v>
      </c>
    </row>
    <row r="8" ht="14.25">
      <c r="A8" s="4" t="s">
        <v>15</v>
      </c>
      <c r="B8" s="4" t="s">
        <v>16</v>
      </c>
      <c r="C8" s="5">
        <v>2.9999999999999999e-02</v>
      </c>
    </row>
    <row r="9" ht="14.25">
      <c r="A9" s="4" t="s">
        <v>17</v>
      </c>
      <c r="B9" s="4" t="s">
        <v>18</v>
      </c>
      <c r="C9" s="5">
        <v>2.9999999999999999e-02</v>
      </c>
    </row>
    <row r="10" ht="14.25">
      <c r="A10" s="4" t="s">
        <v>19</v>
      </c>
      <c r="B10" s="4" t="s">
        <v>20</v>
      </c>
      <c r="C10" s="5">
        <v>2.9999999999999999e-02</v>
      </c>
    </row>
    <row r="11" ht="14.25">
      <c r="A11" s="4" t="s">
        <v>21</v>
      </c>
      <c r="B11" s="4" t="s">
        <v>22</v>
      </c>
      <c r="C11" s="5">
        <v>2.9999999999999999e-02</v>
      </c>
    </row>
    <row r="12" ht="14.25">
      <c r="A12" s="4" t="s">
        <v>23</v>
      </c>
      <c r="B12" s="4" t="s">
        <v>24</v>
      </c>
      <c r="C12" s="5">
        <v>2.9999999999999999e-02</v>
      </c>
    </row>
    <row r="13" ht="14.25">
      <c r="A13" s="4" t="s">
        <v>25</v>
      </c>
      <c r="B13" s="4" t="s">
        <v>26</v>
      </c>
      <c r="C13" s="5">
        <v>2.9999999999999999e-02</v>
      </c>
    </row>
    <row r="14" ht="14.25">
      <c r="A14" s="4" t="s">
        <v>27</v>
      </c>
      <c r="B14" s="4" t="s">
        <v>28</v>
      </c>
      <c r="C14" s="5">
        <v>2.9999999999999999e-02</v>
      </c>
    </row>
    <row r="15" ht="14.25">
      <c r="A15" s="1" t="s">
        <v>29</v>
      </c>
      <c r="B15" s="1" t="s">
        <v>30</v>
      </c>
      <c r="C15" s="3">
        <v>2.e-02</v>
      </c>
    </row>
    <row r="16" ht="14.25">
      <c r="A16" s="1" t="s">
        <v>31</v>
      </c>
      <c r="B16" s="1" t="s">
        <v>32</v>
      </c>
      <c r="C16" s="3">
        <v>2.e-02</v>
      </c>
    </row>
    <row r="17" ht="14.25">
      <c r="A17" s="1" t="s">
        <v>33</v>
      </c>
      <c r="B17" s="1" t="s">
        <v>34</v>
      </c>
      <c r="C17" s="3">
        <v>2.e-02</v>
      </c>
    </row>
    <row r="18" ht="14.25">
      <c r="A18" s="1" t="s">
        <v>35</v>
      </c>
      <c r="B18" s="1" t="s">
        <v>36</v>
      </c>
      <c r="C18" s="3">
        <v>2.e-02</v>
      </c>
    </row>
    <row r="19" ht="14.25">
      <c r="A19" s="1" t="s">
        <v>37</v>
      </c>
      <c r="B19" s="1" t="s">
        <v>38</v>
      </c>
      <c r="C19" s="3">
        <v>2.e-02</v>
      </c>
    </row>
    <row r="20" ht="14.25">
      <c r="A20" s="1" t="s">
        <v>39</v>
      </c>
      <c r="B20" s="1" t="s">
        <v>40</v>
      </c>
      <c r="C20" s="3">
        <v>2.e-02</v>
      </c>
    </row>
    <row r="21" ht="14.25">
      <c r="A21" s="1" t="s">
        <v>41</v>
      </c>
      <c r="B21" s="1" t="s">
        <v>42</v>
      </c>
      <c r="C21" s="3">
        <v>2.e-02</v>
      </c>
    </row>
    <row r="22" ht="14.25">
      <c r="A22" s="1" t="s">
        <v>43</v>
      </c>
      <c r="B22" s="1" t="s">
        <v>44</v>
      </c>
      <c r="C22" s="3">
        <v>2.e-02</v>
      </c>
    </row>
    <row r="23" ht="14.25">
      <c r="A23" s="1" t="s">
        <v>45</v>
      </c>
      <c r="B23" s="1" t="s">
        <v>46</v>
      </c>
      <c r="C23" s="3">
        <v>2.e-02</v>
      </c>
    </row>
    <row r="24" ht="14.25">
      <c r="A24" s="1" t="s">
        <v>47</v>
      </c>
      <c r="B24" s="1" t="s">
        <v>48</v>
      </c>
      <c r="C24" s="3">
        <v>2.e-02</v>
      </c>
    </row>
    <row r="25" ht="14.25">
      <c r="A25" s="1" t="s">
        <v>49</v>
      </c>
      <c r="B25" s="1" t="s">
        <v>50</v>
      </c>
      <c r="C25" s="3">
        <v>2.e-02</v>
      </c>
    </row>
    <row r="26" ht="14.25">
      <c r="A26" s="1" t="s">
        <v>51</v>
      </c>
      <c r="B26" s="1" t="s">
        <v>52</v>
      </c>
      <c r="C26" s="3">
        <v>2.e-02</v>
      </c>
    </row>
    <row r="27" ht="14.25">
      <c r="A27" s="1" t="s">
        <v>53</v>
      </c>
      <c r="B27" s="1" t="s">
        <v>54</v>
      </c>
      <c r="C27" s="3">
        <v>2.e-02</v>
      </c>
    </row>
    <row r="28" ht="14.25">
      <c r="A28" s="1" t="s">
        <v>55</v>
      </c>
      <c r="B28" s="1" t="s">
        <v>56</v>
      </c>
      <c r="C28" s="3">
        <v>2.e-02</v>
      </c>
    </row>
    <row r="29" ht="14.25">
      <c r="A29" s="1" t="s">
        <v>57</v>
      </c>
      <c r="B29" s="1" t="s">
        <v>58</v>
      </c>
      <c r="C29" s="3">
        <v>2.e-02</v>
      </c>
    </row>
    <row r="30" ht="14.25">
      <c r="A30" s="1" t="s">
        <v>59</v>
      </c>
      <c r="B30" s="1" t="s">
        <v>60</v>
      </c>
      <c r="C30" s="3">
        <v>2.e-02</v>
      </c>
    </row>
    <row r="31" ht="14.25">
      <c r="A31" s="1" t="s">
        <v>61</v>
      </c>
      <c r="B31" s="1" t="s">
        <v>62</v>
      </c>
      <c r="C31" s="3">
        <v>2.e-02</v>
      </c>
    </row>
    <row r="32" ht="14.25">
      <c r="A32" s="1" t="s">
        <v>63</v>
      </c>
      <c r="B32" s="1" t="s">
        <v>64</v>
      </c>
      <c r="C32" s="3">
        <v>2.e-02</v>
      </c>
    </row>
    <row r="33" ht="14.25">
      <c r="A33" s="1" t="s">
        <v>65</v>
      </c>
      <c r="B33" s="1" t="s">
        <v>66</v>
      </c>
      <c r="C33" s="3">
        <v>2.e-02</v>
      </c>
    </row>
    <row r="34" ht="14.25">
      <c r="A34" s="1" t="s">
        <v>67</v>
      </c>
      <c r="B34" s="1" t="s">
        <v>68</v>
      </c>
      <c r="C34" s="3">
        <v>1.e-02</v>
      </c>
    </row>
    <row r="35" ht="14.25">
      <c r="A35" s="1" t="s">
        <v>69</v>
      </c>
      <c r="B35" s="1" t="s">
        <v>69</v>
      </c>
      <c r="C35" s="3">
        <v>1.e-02</v>
      </c>
    </row>
    <row r="36" ht="14.25">
      <c r="A36" s="1" t="s">
        <v>70</v>
      </c>
      <c r="B36" s="1" t="s">
        <v>70</v>
      </c>
      <c r="C36" s="3">
        <v>1.e-02</v>
      </c>
    </row>
    <row r="37" ht="14.25">
      <c r="A37" s="1" t="s">
        <v>71</v>
      </c>
      <c r="B37" s="1" t="s">
        <v>72</v>
      </c>
      <c r="C37" s="3">
        <v>1.e-02</v>
      </c>
    </row>
    <row r="38" ht="14.25">
      <c r="A38" s="1" t="s">
        <v>73</v>
      </c>
      <c r="B38" s="1" t="s">
        <v>74</v>
      </c>
      <c r="C38" s="3">
        <v>1.e-02</v>
      </c>
    </row>
    <row r="39" ht="14.25">
      <c r="A39" s="1" t="s">
        <v>75</v>
      </c>
      <c r="B39" s="1" t="s">
        <v>76</v>
      </c>
      <c r="C39" s="3">
        <v>1.e-02</v>
      </c>
    </row>
    <row r="40" ht="14.25">
      <c r="A40" s="1" t="s">
        <v>77</v>
      </c>
      <c r="B40" s="1" t="s">
        <v>78</v>
      </c>
      <c r="C40" s="3">
        <v>1.e-02</v>
      </c>
    </row>
    <row r="41" ht="14.25">
      <c r="A41" s="1" t="s">
        <v>79</v>
      </c>
      <c r="B41" s="1" t="s">
        <v>80</v>
      </c>
      <c r="C41" s="3">
        <v>1.e-02</v>
      </c>
    </row>
    <row r="42" ht="14.25">
      <c r="A42" s="1" t="s">
        <v>81</v>
      </c>
      <c r="B42" s="1" t="s">
        <v>82</v>
      </c>
      <c r="C42" s="3">
        <v>1.e-02</v>
      </c>
    </row>
    <row r="43" ht="14.25">
      <c r="A43" s="1" t="s">
        <v>83</v>
      </c>
      <c r="B43" s="1" t="s">
        <v>84</v>
      </c>
      <c r="C43" s="3">
        <v>1.e-02</v>
      </c>
    </row>
    <row r="44" ht="14.25">
      <c r="A44" s="1" t="s">
        <v>85</v>
      </c>
      <c r="B44" s="1" t="s">
        <v>86</v>
      </c>
      <c r="C44" s="3">
        <v>1.e-02</v>
      </c>
    </row>
    <row r="45" ht="14.25">
      <c r="A45" s="1" t="s">
        <v>87</v>
      </c>
      <c r="B45" s="1" t="s">
        <v>88</v>
      </c>
      <c r="C45" s="3">
        <v>1.e-02</v>
      </c>
    </row>
    <row r="46" ht="14.25">
      <c r="A46" s="1" t="s">
        <v>89</v>
      </c>
      <c r="B46" s="1" t="s">
        <v>90</v>
      </c>
      <c r="C46" s="3">
        <v>1.e-02</v>
      </c>
    </row>
    <row r="47" ht="14.25">
      <c r="A47" s="1" t="s">
        <v>91</v>
      </c>
      <c r="B47" s="1" t="s">
        <v>92</v>
      </c>
      <c r="C47" s="3">
        <v>1.e-02</v>
      </c>
    </row>
    <row r="48" ht="14.25">
      <c r="A48" s="1" t="s">
        <v>93</v>
      </c>
      <c r="B48" s="1" t="s">
        <v>94</v>
      </c>
      <c r="C48" s="3">
        <v>1.e-02</v>
      </c>
    </row>
    <row r="49" ht="14.25">
      <c r="A49" t="s">
        <v>95</v>
      </c>
      <c r="B49" t="s">
        <v>96</v>
      </c>
      <c r="C49" s="6">
        <v>1.e-02</v>
      </c>
    </row>
    <row r="50" ht="14.25">
      <c r="A50" t="s">
        <v>97</v>
      </c>
      <c r="B50" t="s">
        <v>98</v>
      </c>
      <c r="C50" s="6">
        <v>0</v>
      </c>
    </row>
    <row r="51" ht="14.25">
      <c r="A51" t="s">
        <v>99</v>
      </c>
      <c r="B51" s="7" t="s">
        <v>100</v>
      </c>
      <c r="C51" s="6">
        <v>0</v>
      </c>
    </row>
    <row r="52" ht="14.25"/>
  </sheetData>
  <sortState ref="A2:C49" columnSort="0">
    <sortCondition sortBy="value" descending="0" ref="C2:C49"/>
  </sortState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id="{00AE00DF-0086-41B6-8028-0005006A00BB}">
            <xm:f>NOT(ISERROR(SEARCH("$J$5",I2)))</xm:f>
            <xm:f>$J$5</xm:f>
            <x14:dxf>
              <font>
                <color theme="0" tint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D2:E48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9.140625"/>
    <col customWidth="1" hidden="1" min="3" max="3" width="0"/>
    <col customWidth="1" hidden="1" min="4" max="4" width="12.28125"/>
    <col customWidth="1" hidden="1" min="5" max="6" width="0"/>
    <col bestFit="1" min="7" max="7" width="27.57421875"/>
    <col customWidth="1" hidden="1" min="8" max="8" width="0"/>
    <col bestFit="1" min="9" max="9" width="24.00390625"/>
    <col bestFit="1" min="10" max="10" width="19.8515625"/>
    <col bestFit="1" min="11" max="11" width="15.57421875"/>
  </cols>
  <sheetData>
    <row r="1" ht="14.25">
      <c r="A1" t="s">
        <v>0</v>
      </c>
      <c r="B1" t="s">
        <v>101</v>
      </c>
      <c r="C1" t="s">
        <v>102</v>
      </c>
      <c r="D1" t="s">
        <v>103</v>
      </c>
      <c r="E1" t="s">
        <v>104</v>
      </c>
      <c r="F1" t="s">
        <v>105</v>
      </c>
      <c r="G1" t="s">
        <v>1</v>
      </c>
      <c r="H1" t="s">
        <v>106</v>
      </c>
      <c r="I1" t="s">
        <v>107</v>
      </c>
      <c r="J1" s="2" t="s">
        <v>108</v>
      </c>
      <c r="K1" t="s">
        <v>109</v>
      </c>
    </row>
    <row r="2" ht="14.25">
      <c r="A2" t="s">
        <v>3</v>
      </c>
      <c r="B2" s="8">
        <v>8.9924060215014565e-03</v>
      </c>
      <c r="C2">
        <v>2.0408163265306121e-02</v>
      </c>
      <c r="D2">
        <v>2.e-02</v>
      </c>
      <c r="E2" s="8">
        <v>3.4798233021232673e-02</v>
      </c>
      <c r="F2">
        <v>3.0891889161849893e-02</v>
      </c>
      <c r="G2" t="s">
        <v>4</v>
      </c>
      <c r="H2">
        <v>0.96089345532221682</v>
      </c>
      <c r="I2" t="s">
        <v>110</v>
      </c>
      <c r="J2" t="s">
        <v>110</v>
      </c>
      <c r="K2" s="3">
        <v>5.0000000000000003e-02</v>
      </c>
    </row>
    <row r="3" ht="14.25">
      <c r="A3" t="s">
        <v>5</v>
      </c>
      <c r="B3" s="8">
        <v>3.3841762257485204e-02</v>
      </c>
      <c r="C3">
        <v>2.0408163265306121e-02</v>
      </c>
      <c r="D3">
        <v>2.e-02</v>
      </c>
      <c r="E3" s="8">
        <v>2.8355674394480945e-02</v>
      </c>
      <c r="F3">
        <v>2.9285588623228564e-02</v>
      </c>
      <c r="G3" t="s">
        <v>6</v>
      </c>
      <c r="H3">
        <v>0.10817421566527016</v>
      </c>
      <c r="I3" t="s">
        <v>111</v>
      </c>
      <c r="J3" t="s">
        <v>110</v>
      </c>
      <c r="K3" s="3">
        <v>4.0000000000000001e-02</v>
      </c>
    </row>
    <row r="4" ht="14.25">
      <c r="A4" t="s">
        <v>112</v>
      </c>
      <c r="B4" s="8">
        <v>1.975094815740212e-02</v>
      </c>
      <c r="C4">
        <v>2.0408163265306121e-02</v>
      </c>
      <c r="D4">
        <v>2.e-02</v>
      </c>
      <c r="E4" s="8">
        <v>3.4727669513664544e-02</v>
      </c>
      <c r="F4">
        <v>3.4111616086094837e-02</v>
      </c>
      <c r="G4" t="s">
        <v>113</v>
      </c>
      <c r="H4">
        <v>0.28799354575499486</v>
      </c>
      <c r="I4" t="s">
        <v>110</v>
      </c>
      <c r="J4" t="s">
        <v>110</v>
      </c>
      <c r="K4" s="3">
        <v>2.9999999999999999e-02</v>
      </c>
    </row>
    <row r="5" ht="14.25">
      <c r="A5" t="s">
        <v>7</v>
      </c>
      <c r="B5" s="8">
        <v>1.561456929250492e-02</v>
      </c>
      <c r="C5">
        <v>2.0408163265306121e-02</v>
      </c>
      <c r="D5">
        <v>2.e-02</v>
      </c>
      <c r="E5" s="8">
        <v>3.6119891042137094e-02</v>
      </c>
      <c r="F5">
        <v>3.4580956699034007e-02</v>
      </c>
      <c r="G5" t="s">
        <v>8</v>
      </c>
      <c r="H5">
        <v>0.44034425373402181</v>
      </c>
      <c r="I5" t="s">
        <v>110</v>
      </c>
      <c r="J5" t="s">
        <v>110</v>
      </c>
      <c r="K5" s="3">
        <v>2.9999999999999999e-02</v>
      </c>
    </row>
    <row r="6" ht="14.25">
      <c r="A6" t="s">
        <v>9</v>
      </c>
      <c r="B6" s="8">
        <v>1.19556668159002e-02</v>
      </c>
      <c r="C6">
        <v>2.0408163265306121e-02</v>
      </c>
      <c r="D6">
        <v>2.e-02</v>
      </c>
      <c r="E6" s="8">
        <v>3.0374911701235723e-02</v>
      </c>
      <c r="F6">
        <v>2.8074142792299878e-02</v>
      </c>
      <c r="G6" t="s">
        <v>10</v>
      </c>
      <c r="H6">
        <v>2.4070875040987763</v>
      </c>
      <c r="I6" t="s">
        <v>110</v>
      </c>
      <c r="J6" t="s">
        <v>110</v>
      </c>
      <c r="K6" s="3">
        <v>2.9999999999999999e-02</v>
      </c>
    </row>
    <row r="7" ht="14.25">
      <c r="A7" t="s">
        <v>11</v>
      </c>
      <c r="B7" s="8">
        <v>4.0945595635055933e-02</v>
      </c>
      <c r="C7">
        <v>2.0408163265306121e-02</v>
      </c>
      <c r="D7">
        <v>4.0000000000000001e-02</v>
      </c>
      <c r="E7" s="8">
        <v>2.5641155948856402e-02</v>
      </c>
      <c r="F7">
        <v>2.6901298135669313e-02</v>
      </c>
      <c r="G7" t="s">
        <v>12</v>
      </c>
      <c r="H7">
        <v>7.6465945672631513e-02</v>
      </c>
      <c r="I7" t="s">
        <v>111</v>
      </c>
      <c r="J7" t="s">
        <v>111</v>
      </c>
      <c r="K7" s="3">
        <v>2.9999999999999999e-02</v>
      </c>
    </row>
    <row r="8" ht="14.25">
      <c r="A8" t="s">
        <v>13</v>
      </c>
      <c r="B8" s="8">
        <v>1.9184200485149398e-02</v>
      </c>
      <c r="C8">
        <v>2.0408163265306121e-02</v>
      </c>
      <c r="D8">
        <v>2.e-02</v>
      </c>
      <c r="E8" s="8">
        <v>2.1270155029985294e-02</v>
      </c>
      <c r="F8">
        <v>2.5078263533635164e-02</v>
      </c>
      <c r="G8" t="s">
        <v>14</v>
      </c>
      <c r="H8">
        <v>0.13042833728686526</v>
      </c>
      <c r="I8" t="s">
        <v>110</v>
      </c>
      <c r="J8" t="s">
        <v>110</v>
      </c>
      <c r="K8" s="3">
        <v>2.9999999999999999e-02</v>
      </c>
    </row>
    <row r="9" ht="14.25">
      <c r="A9" t="s">
        <v>15</v>
      </c>
      <c r="B9" s="8">
        <v>1.5899240453803667e-02</v>
      </c>
      <c r="C9">
        <v>2.0408163265306121e-02</v>
      </c>
      <c r="D9">
        <v>2.e-02</v>
      </c>
      <c r="E9" s="8">
        <v>0</v>
      </c>
      <c r="F9">
        <v>0</v>
      </c>
      <c r="G9" t="s">
        <v>16</v>
      </c>
      <c r="H9">
        <v>7.2387449475785737e-02</v>
      </c>
      <c r="I9" t="s">
        <v>110</v>
      </c>
      <c r="J9" t="s">
        <v>110</v>
      </c>
      <c r="K9" s="3">
        <v>2.9999999999999999e-02</v>
      </c>
    </row>
    <row r="10" ht="14.25">
      <c r="A10" t="s">
        <v>17</v>
      </c>
      <c r="B10" s="8">
        <v>2.7508967438727952e-02</v>
      </c>
      <c r="C10">
        <v>2.0408163265306121e-02</v>
      </c>
      <c r="D10">
        <v>2.e-02</v>
      </c>
      <c r="E10" s="8">
        <v>2.3524416457225975e-02</v>
      </c>
      <c r="F10">
        <v>2.4233878765610357e-02</v>
      </c>
      <c r="G10" t="s">
        <v>18</v>
      </c>
      <c r="H10">
        <v>0.11555327860674848</v>
      </c>
      <c r="I10" t="s">
        <v>111</v>
      </c>
      <c r="J10" t="s">
        <v>110</v>
      </c>
      <c r="K10" s="3">
        <v>2.9999999999999999e-02</v>
      </c>
    </row>
    <row r="11" ht="14.25">
      <c r="A11" t="s">
        <v>19</v>
      </c>
      <c r="B11" s="8">
        <v>2.6350085737249604e-02</v>
      </c>
      <c r="C11">
        <v>2.0408163265306121e-02</v>
      </c>
      <c r="D11">
        <v>2.e-02</v>
      </c>
      <c r="E11" s="8">
        <v>2.9639948664510044e-02</v>
      </c>
      <c r="F11">
        <v>2.9871110989607413e-02</v>
      </c>
      <c r="G11" t="s">
        <v>20</v>
      </c>
      <c r="H11">
        <v>0.18428471925157192</v>
      </c>
      <c r="I11" t="s">
        <v>111</v>
      </c>
      <c r="J11" t="s">
        <v>111</v>
      </c>
      <c r="K11" s="3">
        <v>2.9999999999999999e-02</v>
      </c>
    </row>
    <row r="12" ht="14.25">
      <c r="A12" t="s">
        <v>21</v>
      </c>
      <c r="B12" s="8">
        <v>1.7469527622393739e-02</v>
      </c>
      <c r="C12">
        <v>2.0408163265306121e-02</v>
      </c>
      <c r="D12">
        <v>2.e-02</v>
      </c>
      <c r="E12" s="8">
        <v>2.9243999746409722e-02</v>
      </c>
      <c r="F12">
        <v>2.467916138946253e-02</v>
      </c>
      <c r="G12" t="s">
        <v>22</v>
      </c>
      <c r="H12">
        <v>0.29496929370170533</v>
      </c>
      <c r="I12" t="s">
        <v>110</v>
      </c>
      <c r="J12" t="s">
        <v>110</v>
      </c>
      <c r="K12" s="3">
        <v>2.9999999999999999e-02</v>
      </c>
    </row>
    <row r="13" ht="14.25">
      <c r="A13" t="s">
        <v>23</v>
      </c>
      <c r="B13" s="8">
        <v>2.3125895706665744e-02</v>
      </c>
      <c r="C13">
        <v>2.0408163265306121e-02</v>
      </c>
      <c r="D13">
        <v>2.e-02</v>
      </c>
      <c r="E13" s="8">
        <v>2.9027215515980913e-02</v>
      </c>
      <c r="F13">
        <v>3.0617365694763806e-02</v>
      </c>
      <c r="G13" t="s">
        <v>24</v>
      </c>
      <c r="H13">
        <v>0.32937762933726894</v>
      </c>
      <c r="I13" t="s">
        <v>110</v>
      </c>
      <c r="J13" t="s">
        <v>110</v>
      </c>
      <c r="K13" s="3">
        <v>2.9999999999999999e-02</v>
      </c>
    </row>
    <row r="14" ht="14.25">
      <c r="A14" t="s">
        <v>29</v>
      </c>
      <c r="B14" s="8">
        <v>2.1066467569839358e-02</v>
      </c>
      <c r="C14">
        <v>2.0408163265306121e-02</v>
      </c>
      <c r="D14">
        <v>2.e-02</v>
      </c>
      <c r="E14" s="8">
        <v>2.8972911438062857e-02</v>
      </c>
      <c r="F14">
        <v>3.1158597267058042e-02</v>
      </c>
      <c r="G14" t="s">
        <v>30</v>
      </c>
      <c r="H14">
        <v>0.14700004494937488</v>
      </c>
      <c r="I14" t="s">
        <v>110</v>
      </c>
      <c r="J14" t="s">
        <v>110</v>
      </c>
      <c r="K14" s="3">
        <v>2.9999999999999999e-02</v>
      </c>
    </row>
    <row r="15" ht="14.25">
      <c r="A15" t="s">
        <v>25</v>
      </c>
      <c r="B15" s="8">
        <v>2.5073613980748276e-02</v>
      </c>
      <c r="C15">
        <v>2.0408163265306121e-02</v>
      </c>
      <c r="D15">
        <v>2.e-02</v>
      </c>
      <c r="E15" s="8">
        <v>2.4390532192205178e-02</v>
      </c>
      <c r="F15">
        <v>2.5051275555895574e-02</v>
      </c>
      <c r="G15" t="s">
        <v>26</v>
      </c>
      <c r="H15">
        <v>0.13539008910678538</v>
      </c>
      <c r="I15" t="s">
        <v>111</v>
      </c>
      <c r="J15" t="s">
        <v>110</v>
      </c>
      <c r="K15" s="3">
        <v>2.9999999999999999e-02</v>
      </c>
    </row>
    <row r="16" ht="14.25">
      <c r="A16" t="s">
        <v>27</v>
      </c>
      <c r="B16" s="8">
        <v>2.0703996654848296e-02</v>
      </c>
      <c r="C16">
        <v>2.0408163265306121e-02</v>
      </c>
      <c r="D16">
        <v>2.e-02</v>
      </c>
      <c r="E16" s="8">
        <v>1.83471982904275e-02</v>
      </c>
      <c r="F16">
        <v>1.773285962498523e-02</v>
      </c>
      <c r="G16" t="s">
        <v>28</v>
      </c>
      <c r="H16">
        <v>0.2788660970581669</v>
      </c>
      <c r="I16" t="s">
        <v>110</v>
      </c>
      <c r="J16" t="s">
        <v>111</v>
      </c>
      <c r="K16" s="3">
        <v>2.9999999999999999e-02</v>
      </c>
    </row>
    <row r="17" ht="14.25">
      <c r="A17" t="s">
        <v>31</v>
      </c>
      <c r="B17" s="8">
        <v>1.9632545250661677e-02</v>
      </c>
      <c r="C17">
        <v>2.0408163265306121e-02</v>
      </c>
      <c r="D17">
        <v>2.e-02</v>
      </c>
      <c r="E17" s="8">
        <v>2.0469847043931844e-02</v>
      </c>
      <c r="F17">
        <v>2.2650719248480559e-02</v>
      </c>
      <c r="G17" t="s">
        <v>32</v>
      </c>
      <c r="H17">
        <v>0.13428401901827219</v>
      </c>
      <c r="I17" t="s">
        <v>110</v>
      </c>
      <c r="J17" t="s">
        <v>111</v>
      </c>
      <c r="K17" s="3">
        <f>E22</f>
        <v>1.214945856545804e-02</v>
      </c>
    </row>
    <row r="18" ht="14.25">
      <c r="A18" t="s">
        <v>33</v>
      </c>
      <c r="B18" s="8">
        <v>2.9316641230204485e-02</v>
      </c>
      <c r="C18">
        <v>2.0408163265306121e-02</v>
      </c>
      <c r="D18">
        <v>2.e-02</v>
      </c>
      <c r="E18" s="8">
        <v>1.4028846015269485e-02</v>
      </c>
      <c r="F18">
        <v>1.4778716831555502e-02</v>
      </c>
      <c r="G18" t="s">
        <v>34</v>
      </c>
      <c r="H18">
        <v>6.0934641869443203e-02</v>
      </c>
      <c r="I18" t="s">
        <v>110</v>
      </c>
      <c r="J18" t="s">
        <v>110</v>
      </c>
      <c r="K18" s="3">
        <v>2.e-02</v>
      </c>
    </row>
    <row r="19" ht="14.25">
      <c r="A19" t="s">
        <v>35</v>
      </c>
      <c r="B19" s="8">
        <v>2.1979837985942441e-02</v>
      </c>
      <c r="C19">
        <v>2.0408163265306121e-02</v>
      </c>
      <c r="D19">
        <v>2.e-02</v>
      </c>
      <c r="E19" s="8">
        <v>2.6191395775937147e-02</v>
      </c>
      <c r="F19">
        <v>2.8025601716326641e-02</v>
      </c>
      <c r="G19" t="s">
        <v>36</v>
      </c>
      <c r="H19">
        <v>0.15939295106925133</v>
      </c>
      <c r="I19" t="s">
        <v>110</v>
      </c>
      <c r="J19" t="s">
        <v>110</v>
      </c>
      <c r="K19" s="3">
        <v>2.e-02</v>
      </c>
    </row>
    <row r="20" ht="14.25">
      <c r="A20" t="s">
        <v>37</v>
      </c>
      <c r="B20" s="8">
        <v>2.129437063389665e-02</v>
      </c>
      <c r="C20">
        <v>2.0408163265306121e-02</v>
      </c>
      <c r="D20">
        <v>2.e-02</v>
      </c>
      <c r="E20" s="8">
        <v>2.4576276962659401e-02</v>
      </c>
      <c r="F20">
        <v>2.5502298227909198e-02</v>
      </c>
      <c r="G20" t="s">
        <v>38</v>
      </c>
      <c r="H20">
        <v>0.16745954183967304</v>
      </c>
      <c r="I20" t="s">
        <v>111</v>
      </c>
      <c r="J20" t="s">
        <v>110</v>
      </c>
      <c r="K20" s="3">
        <v>2.e-02</v>
      </c>
    </row>
    <row r="21" ht="14.25">
      <c r="A21" t="s">
        <v>39</v>
      </c>
      <c r="B21" s="8">
        <v>1.7289439310748035e-02</v>
      </c>
      <c r="C21">
        <v>2.0408163265306121e-02</v>
      </c>
      <c r="D21">
        <v>2.e-02</v>
      </c>
      <c r="E21" s="8">
        <v>2.2815813606342789e-02</v>
      </c>
      <c r="F21">
        <v>2.3692496210818328e-02</v>
      </c>
      <c r="G21" t="s">
        <v>40</v>
      </c>
      <c r="H21">
        <v>0.39115382052507303</v>
      </c>
      <c r="I21" t="s">
        <v>110</v>
      </c>
      <c r="J21" t="s">
        <v>111</v>
      </c>
      <c r="K21" s="3">
        <v>2.e-02</v>
      </c>
    </row>
    <row r="22" ht="14.25">
      <c r="A22" t="s">
        <v>41</v>
      </c>
      <c r="B22" s="8">
        <v>3.0545173090798183e-02</v>
      </c>
      <c r="C22">
        <v>2.0408163265306121e-02</v>
      </c>
      <c r="D22">
        <v>2.e-02</v>
      </c>
      <c r="E22" s="8">
        <v>1.214945856545804e-02</v>
      </c>
      <c r="F22">
        <v>1.340229455871581e-02</v>
      </c>
      <c r="G22" t="s">
        <v>42</v>
      </c>
      <c r="H22">
        <v>7.6094055797500712e-02</v>
      </c>
      <c r="I22" t="s">
        <v>110</v>
      </c>
      <c r="J22" t="s">
        <v>110</v>
      </c>
      <c r="K22" s="3">
        <v>2.e-02</v>
      </c>
    </row>
    <row r="23" ht="14.25">
      <c r="A23" t="s">
        <v>43</v>
      </c>
      <c r="B23" s="8">
        <v>2.7878275063882352e-02</v>
      </c>
      <c r="C23">
        <v>2.0408163265306121e-02</v>
      </c>
      <c r="D23">
        <v>2.e-02</v>
      </c>
      <c r="E23" s="8">
        <v>2.6723345054385599e-02</v>
      </c>
      <c r="F23">
        <v>2.8097391801214816e-02</v>
      </c>
      <c r="G23" t="s">
        <v>44</v>
      </c>
      <c r="H23">
        <v>0.17238665258823774</v>
      </c>
      <c r="I23" t="s">
        <v>111</v>
      </c>
      <c r="J23" t="s">
        <v>110</v>
      </c>
      <c r="K23" s="3">
        <v>2.e-02</v>
      </c>
    </row>
    <row r="24" ht="14.25">
      <c r="A24" t="s">
        <v>45</v>
      </c>
      <c r="B24" s="8">
        <v>2.4993793862084016e-02</v>
      </c>
      <c r="C24">
        <v>2.0408163265306121e-02</v>
      </c>
      <c r="D24">
        <v>2.e-02</v>
      </c>
      <c r="E24" s="8">
        <v>2.6987835773253421e-02</v>
      </c>
      <c r="F24">
        <v>2.5325015424095234e-02</v>
      </c>
      <c r="G24" t="s">
        <v>46</v>
      </c>
      <c r="H24">
        <v>0.19315232441843935</v>
      </c>
      <c r="I24" t="s">
        <v>111</v>
      </c>
      <c r="J24" t="s">
        <v>111</v>
      </c>
      <c r="K24" s="3">
        <v>2.e-02</v>
      </c>
    </row>
    <row r="25" ht="14.25">
      <c r="A25" t="s">
        <v>47</v>
      </c>
      <c r="B25" s="8">
        <v>2.0962233980998272e-02</v>
      </c>
      <c r="C25">
        <v>2.0408163265306121e-02</v>
      </c>
      <c r="D25">
        <v>2.e-02</v>
      </c>
      <c r="E25" s="8">
        <v>1.9335014637343963e-02</v>
      </c>
      <c r="F25">
        <v>2.0865244307140946e-02</v>
      </c>
      <c r="G25" t="s">
        <v>48</v>
      </c>
      <c r="H25">
        <v>0.11106868570276332</v>
      </c>
      <c r="I25" t="s">
        <v>110</v>
      </c>
      <c r="J25" t="s">
        <v>110</v>
      </c>
      <c r="K25" s="3">
        <v>2.e-02</v>
      </c>
    </row>
    <row r="26" ht="14.25">
      <c r="A26" t="s">
        <v>49</v>
      </c>
      <c r="B26" s="8">
        <v>1.0323663004903113e-02</v>
      </c>
      <c r="C26">
        <v>2.0408163265306121e-02</v>
      </c>
      <c r="D26">
        <v>2.e-02</v>
      </c>
      <c r="E26" s="8">
        <v>3.1793149948547095e-02</v>
      </c>
      <c r="F26">
        <v>2.871123874723959e-02</v>
      </c>
      <c r="G26" t="s">
        <v>50</v>
      </c>
      <c r="H26">
        <v>0.19700804018186979</v>
      </c>
      <c r="I26" t="s">
        <v>111</v>
      </c>
      <c r="J26" t="s">
        <v>111</v>
      </c>
      <c r="K26" s="3">
        <v>2.e-02</v>
      </c>
    </row>
    <row r="27" ht="14.25">
      <c r="A27" t="s">
        <v>51</v>
      </c>
      <c r="B27" s="8">
        <v>2.9992501105561876e-02</v>
      </c>
      <c r="C27">
        <v>2.0408163265306121e-02</v>
      </c>
      <c r="D27">
        <v>2.e-02</v>
      </c>
      <c r="E27" s="8">
        <v>1.540203856307458e-02</v>
      </c>
      <c r="F27">
        <v>1.821923152921294e-02</v>
      </c>
      <c r="G27" t="s">
        <v>52</v>
      </c>
      <c r="H27">
        <v>9.0026667766638369e-02</v>
      </c>
      <c r="I27" t="s">
        <v>111</v>
      </c>
      <c r="J27" t="s">
        <v>110</v>
      </c>
      <c r="K27" s="3">
        <v>2.e-02</v>
      </c>
    </row>
    <row r="28" ht="14.25">
      <c r="A28" t="s">
        <v>53</v>
      </c>
      <c r="B28" s="8">
        <v>2.0947430116729216e-02</v>
      </c>
      <c r="C28">
        <v>2.0408163265306121e-02</v>
      </c>
      <c r="D28">
        <v>2.e-02</v>
      </c>
      <c r="E28" s="8">
        <v>1.9299840617794738e-02</v>
      </c>
      <c r="F28">
        <v>1.9551346712203106e-02</v>
      </c>
      <c r="G28" t="s">
        <v>54</v>
      </c>
      <c r="H28">
        <v>0.14945647061776346</v>
      </c>
      <c r="I28" t="s">
        <v>110</v>
      </c>
      <c r="J28" t="s">
        <v>110</v>
      </c>
      <c r="K28" s="3">
        <v>2.e-02</v>
      </c>
    </row>
    <row r="29" ht="14.25">
      <c r="A29" t="s">
        <v>55</v>
      </c>
      <c r="B29" s="8">
        <v>2.0053469711950191e-02</v>
      </c>
      <c r="C29">
        <v>2.0408163265306121e-02</v>
      </c>
      <c r="D29">
        <v>2.e-02</v>
      </c>
      <c r="E29" s="8">
        <v>1.7982347476040796e-02</v>
      </c>
      <c r="F29">
        <v>1.9922006670543457e-02</v>
      </c>
      <c r="G29" t="s">
        <v>56</v>
      </c>
      <c r="H29">
        <v>0.14081295619997977</v>
      </c>
      <c r="I29" t="s">
        <v>111</v>
      </c>
      <c r="J29" t="s">
        <v>110</v>
      </c>
      <c r="K29" s="3">
        <v>2.e-02</v>
      </c>
    </row>
    <row r="30" ht="14.25">
      <c r="A30" t="s">
        <v>57</v>
      </c>
      <c r="B30" s="8">
        <v>2.3680787471517743e-02</v>
      </c>
      <c r="C30">
        <v>2.0408163265306121e-02</v>
      </c>
      <c r="D30">
        <v>2.e-02</v>
      </c>
      <c r="E30" s="8">
        <v>1.7742545117336059e-02</v>
      </c>
      <c r="F30">
        <v>2.0213956901523788e-02</v>
      </c>
      <c r="G30" t="s">
        <v>58</v>
      </c>
      <c r="H30">
        <v>0.12230327101396769</v>
      </c>
      <c r="I30" t="s">
        <v>111</v>
      </c>
      <c r="J30" t="s">
        <v>110</v>
      </c>
      <c r="K30" s="3">
        <v>2.e-02</v>
      </c>
    </row>
    <row r="31" ht="14.25">
      <c r="A31" t="s">
        <v>59</v>
      </c>
      <c r="B31" s="8">
        <v>1.2271695221241885e-02</v>
      </c>
      <c r="C31">
        <v>2.0408163265306121e-02</v>
      </c>
      <c r="D31">
        <v>2.e-02</v>
      </c>
      <c r="E31" s="8">
        <v>1.6211697359642441e-02</v>
      </c>
      <c r="F31">
        <v>1.5490489091128717e-02</v>
      </c>
      <c r="G31" t="s">
        <v>60</v>
      </c>
      <c r="H31">
        <v>0.34211023892649656</v>
      </c>
      <c r="I31" t="s">
        <v>110</v>
      </c>
      <c r="J31" t="s">
        <v>111</v>
      </c>
      <c r="K31" s="3">
        <v>2.e-02</v>
      </c>
    </row>
    <row r="32" ht="14.25">
      <c r="A32" t="s">
        <v>61</v>
      </c>
      <c r="B32" s="8">
        <v>2.3253014880894315e-02</v>
      </c>
      <c r="C32">
        <v>2.0408163265306121e-02</v>
      </c>
      <c r="D32">
        <v>2.e-02</v>
      </c>
      <c r="E32" s="8">
        <v>1.5077104689838361e-02</v>
      </c>
      <c r="F32">
        <v>1.5261834798213534e-02</v>
      </c>
      <c r="G32" t="s">
        <v>62</v>
      </c>
      <c r="H32">
        <v>0.13494792128278241</v>
      </c>
      <c r="I32" t="s">
        <v>110</v>
      </c>
      <c r="J32" t="s">
        <v>110</v>
      </c>
      <c r="K32" s="3">
        <v>2.e-02</v>
      </c>
    </row>
    <row r="33" ht="14.25">
      <c r="A33" t="s">
        <v>63</v>
      </c>
      <c r="B33" s="8">
        <v>2.0266454417373382e-02</v>
      </c>
      <c r="C33">
        <v>2.0408163265306121e-02</v>
      </c>
      <c r="D33">
        <v>2.e-02</v>
      </c>
      <c r="E33" s="8">
        <v>1.3643095274162336e-02</v>
      </c>
      <c r="F33">
        <v>1.3895586767763281e-02</v>
      </c>
      <c r="G33" t="s">
        <v>64</v>
      </c>
      <c r="H33">
        <v>9.7626905330028171e-02</v>
      </c>
      <c r="I33" t="s">
        <v>111</v>
      </c>
      <c r="J33" t="s">
        <v>110</v>
      </c>
      <c r="K33" s="3">
        <v>2.e-02</v>
      </c>
    </row>
    <row r="34" ht="14.25">
      <c r="A34" t="s">
        <v>65</v>
      </c>
      <c r="B34" s="8">
        <v>2.1755603804001024e-02</v>
      </c>
      <c r="C34">
        <v>2.0408163265306121e-02</v>
      </c>
      <c r="D34">
        <v>2.e-02</v>
      </c>
      <c r="E34" s="8">
        <v>1.9870098699046108e-02</v>
      </c>
      <c r="F34">
        <v>2.0168365542372748e-02</v>
      </c>
      <c r="G34" t="s">
        <v>66</v>
      </c>
      <c r="H34">
        <v>0.16514956920549115</v>
      </c>
      <c r="I34" t="s">
        <v>111</v>
      </c>
      <c r="J34" t="s">
        <v>110</v>
      </c>
      <c r="K34" s="3">
        <f>E32</f>
        <v>1.5077104689838361e-02</v>
      </c>
    </row>
    <row r="35" ht="14.25">
      <c r="A35" t="s">
        <v>67</v>
      </c>
      <c r="B35" s="8">
        <v>1.9884750969080003e-02</v>
      </c>
      <c r="C35">
        <v>2.0408163265306121e-02</v>
      </c>
      <c r="D35">
        <v>2.e-02</v>
      </c>
      <c r="E35" s="8">
        <v>1.0548902670537702e-02</v>
      </c>
      <c r="F35">
        <v>1.2584490892956468e-02</v>
      </c>
      <c r="G35" t="s">
        <v>68</v>
      </c>
      <c r="H35">
        <v>0.12350399663016609</v>
      </c>
      <c r="I35" t="s">
        <v>110</v>
      </c>
      <c r="J35" t="s">
        <v>110</v>
      </c>
      <c r="K35" s="3">
        <v>1.e-02</v>
      </c>
    </row>
    <row r="36" ht="14.25">
      <c r="A36" t="s">
        <v>69</v>
      </c>
      <c r="B36" s="8">
        <v>1.6388409032182857e-02</v>
      </c>
      <c r="C36">
        <v>2.0408163265306121e-02</v>
      </c>
      <c r="D36">
        <v>2.e-02</v>
      </c>
      <c r="E36" s="8">
        <v>1.4640738037906423e-02</v>
      </c>
      <c r="F36">
        <v>1.3634346737909782e-02</v>
      </c>
      <c r="G36" t="s">
        <v>69</v>
      </c>
      <c r="H36">
        <v>0.21488272005198827</v>
      </c>
      <c r="I36" t="s">
        <v>111</v>
      </c>
      <c r="J36" t="s">
        <v>111</v>
      </c>
      <c r="K36" s="3">
        <v>1.e-02</v>
      </c>
    </row>
    <row r="37" ht="14.25">
      <c r="A37" t="s">
        <v>70</v>
      </c>
      <c r="B37" s="8">
        <v>1.879200038687551e-02</v>
      </c>
      <c r="C37">
        <v>2.0408163265306121e-02</v>
      </c>
      <c r="D37">
        <v>2.e-02</v>
      </c>
      <c r="E37" s="8">
        <v>1.2164505641155168e-02</v>
      </c>
      <c r="F37">
        <v>1.3147592325282335e-02</v>
      </c>
      <c r="G37" t="s">
        <v>70</v>
      </c>
      <c r="H37">
        <v>0.12166601103225935</v>
      </c>
      <c r="I37" t="s">
        <v>110</v>
      </c>
      <c r="J37" t="s">
        <v>110</v>
      </c>
      <c r="K37" s="3">
        <v>1.e-02</v>
      </c>
    </row>
    <row r="38" ht="14.25">
      <c r="A38" t="s">
        <v>71</v>
      </c>
      <c r="B38" s="8">
        <v>1.4613417699813638e-02</v>
      </c>
      <c r="C38">
        <v>2.0408163265306121e-02</v>
      </c>
      <c r="D38">
        <v>2.e-02</v>
      </c>
      <c r="E38" s="8">
        <v>1.0616112149986645e-02</v>
      </c>
      <c r="F38">
        <v>9.033746337293428e-03</v>
      </c>
      <c r="G38" t="s">
        <v>72</v>
      </c>
      <c r="H38">
        <v>0.15151749262942077</v>
      </c>
      <c r="I38" t="s">
        <v>111</v>
      </c>
      <c r="J38" t="s">
        <v>110</v>
      </c>
      <c r="K38" s="3">
        <v>1.e-02</v>
      </c>
    </row>
    <row r="39" ht="14.25">
      <c r="A39" t="s">
        <v>73</v>
      </c>
      <c r="B39" s="8">
        <v>2.4057165499642475e-02</v>
      </c>
      <c r="C39">
        <v>2.0408163265306121e-02</v>
      </c>
      <c r="D39">
        <v>2.e-02</v>
      </c>
      <c r="E39" s="8">
        <v>1.7051227244217339e-02</v>
      </c>
      <c r="F39">
        <v>1.9480551396875691e-02</v>
      </c>
      <c r="G39" t="s">
        <v>74</v>
      </c>
      <c r="H39">
        <v>9.9061585617264331e-02</v>
      </c>
      <c r="I39" t="s">
        <v>111</v>
      </c>
      <c r="J39" t="s">
        <v>110</v>
      </c>
      <c r="K39" s="3">
        <v>1.e-02</v>
      </c>
    </row>
    <row r="40" ht="14.25">
      <c r="A40" t="s">
        <v>75</v>
      </c>
      <c r="B40" s="8">
        <v>2.2577180546353024e-02</v>
      </c>
      <c r="C40">
        <v>2.0408163265306121e-02</v>
      </c>
      <c r="D40">
        <v>2.e-02</v>
      </c>
      <c r="E40" s="8">
        <v>1.9894703121768938e-02</v>
      </c>
      <c r="F40">
        <v>1.9669609307522613e-02</v>
      </c>
      <c r="G40" t="s">
        <v>76</v>
      </c>
      <c r="H40">
        <v>0.14004021064521074</v>
      </c>
      <c r="I40" t="s">
        <v>111</v>
      </c>
      <c r="J40" t="s">
        <v>110</v>
      </c>
      <c r="K40" s="3">
        <v>1.e-02</v>
      </c>
    </row>
    <row r="41" ht="14.25">
      <c r="A41" t="s">
        <v>77</v>
      </c>
      <c r="B41" s="8">
        <v>2.0307114019006083e-02</v>
      </c>
      <c r="C41">
        <v>2.0408163265306121e-02</v>
      </c>
      <c r="D41">
        <v>2.e-02</v>
      </c>
      <c r="E41" s="8">
        <v>2.1326508391525646e-02</v>
      </c>
      <c r="F41">
        <v>2.3417385666587055e-02</v>
      </c>
      <c r="G41" t="s">
        <v>78</v>
      </c>
      <c r="H41">
        <v>0.14141248985261554</v>
      </c>
      <c r="I41" t="s">
        <v>111</v>
      </c>
      <c r="J41" t="s">
        <v>110</v>
      </c>
      <c r="K41" s="3">
        <v>1.e-02</v>
      </c>
    </row>
    <row r="42" ht="14.25">
      <c r="A42" t="s">
        <v>79</v>
      </c>
      <c r="B42" s="8">
        <v>1.9902452075652829e-02</v>
      </c>
      <c r="C42">
        <v>2.0408163265306121e-02</v>
      </c>
      <c r="D42">
        <v>2.e-02</v>
      </c>
      <c r="E42" s="8">
        <v>2.3150000259572586e-02</v>
      </c>
      <c r="F42">
        <v>2.1428291310573517e-02</v>
      </c>
      <c r="G42" t="s">
        <v>80</v>
      </c>
      <c r="H42">
        <v>0.24347309703934555</v>
      </c>
      <c r="I42" t="s">
        <v>110</v>
      </c>
      <c r="J42" t="s">
        <v>111</v>
      </c>
      <c r="K42" s="3">
        <v>1.e-02</v>
      </c>
    </row>
    <row r="43" ht="14.25">
      <c r="A43" t="s">
        <v>81</v>
      </c>
      <c r="B43" s="8">
        <v>1.9200773418289897e-02</v>
      </c>
      <c r="C43">
        <v>2.0408163265306121e-02</v>
      </c>
      <c r="D43">
        <v>2.e-02</v>
      </c>
      <c r="E43" s="8">
        <v>1.9128043320987605e-02</v>
      </c>
      <c r="F43">
        <v>1.9611862740583755e-02</v>
      </c>
      <c r="G43" t="s">
        <v>82</v>
      </c>
      <c r="H43">
        <v>0.21385237236973742</v>
      </c>
      <c r="I43" t="s">
        <v>111</v>
      </c>
      <c r="J43" t="s">
        <v>111</v>
      </c>
      <c r="K43" s="3">
        <v>1.e-02</v>
      </c>
    </row>
    <row r="44" ht="14.25">
      <c r="A44" t="s">
        <v>83</v>
      </c>
      <c r="B44" s="8">
        <v>1.8998515794792788e-02</v>
      </c>
      <c r="C44">
        <v>2.0408163265306121e-02</v>
      </c>
      <c r="D44">
        <v>2.e-02</v>
      </c>
      <c r="E44" s="8">
        <v>1.5157939239636079e-02</v>
      </c>
      <c r="F44">
        <v>1.4477788595074367e-02</v>
      </c>
      <c r="G44" t="s">
        <v>84</v>
      </c>
      <c r="H44">
        <v>8.6199317010392171e-02</v>
      </c>
      <c r="I44" t="s">
        <v>111</v>
      </c>
      <c r="J44" t="s">
        <v>111</v>
      </c>
      <c r="K44" s="3">
        <v>1.e-02</v>
      </c>
    </row>
    <row r="45" ht="14.25">
      <c r="A45" t="s">
        <v>85</v>
      </c>
      <c r="B45" s="8">
        <v>1.3660088806976204e-02</v>
      </c>
      <c r="C45">
        <v>2.0408163265306121e-02</v>
      </c>
      <c r="D45">
        <v>2.e-02</v>
      </c>
      <c r="E45" s="8">
        <v>1.7019279497784014e-02</v>
      </c>
      <c r="F45">
        <v>1.6744424880606946e-02</v>
      </c>
      <c r="G45" t="s">
        <v>86</v>
      </c>
      <c r="H45">
        <v>0.14503888205713908</v>
      </c>
      <c r="I45" t="s">
        <v>110</v>
      </c>
      <c r="J45" t="s">
        <v>111</v>
      </c>
      <c r="K45" s="3">
        <v>1.e-02</v>
      </c>
    </row>
    <row r="46" ht="14.25">
      <c r="A46" t="s">
        <v>87</v>
      </c>
      <c r="B46" s="8">
        <v>1.2964792061499525e-02</v>
      </c>
      <c r="C46">
        <v>2.0408163265306121e-02</v>
      </c>
      <c r="D46">
        <v>2.e-02</v>
      </c>
      <c r="E46" s="8">
        <v>1.3720986994426572e-02</v>
      </c>
      <c r="F46">
        <v>7.8873428247704675e-03</v>
      </c>
      <c r="G46" t="s">
        <v>88</v>
      </c>
      <c r="H46">
        <v>7.7060473408338784e-02</v>
      </c>
      <c r="I46" t="s">
        <v>111</v>
      </c>
      <c r="J46" t="s">
        <v>111</v>
      </c>
      <c r="K46" s="3">
        <v>1.e-02</v>
      </c>
    </row>
    <row r="47" ht="14.25">
      <c r="A47" t="s">
        <v>89</v>
      </c>
      <c r="B47" s="8">
        <v>1.1281685116277909e-02</v>
      </c>
      <c r="C47">
        <v>2.0408163265306121e-02</v>
      </c>
      <c r="D47">
        <v>2.e-02</v>
      </c>
      <c r="E47" s="8">
        <v>1.9042071107120761e-02</v>
      </c>
      <c r="F47">
        <v>1.5297048207060094e-02</v>
      </c>
      <c r="G47" t="s">
        <v>90</v>
      </c>
      <c r="H47">
        <v>0.18133706946398193</v>
      </c>
      <c r="I47" t="s">
        <v>111</v>
      </c>
      <c r="J47" t="s">
        <v>110</v>
      </c>
      <c r="K47" s="3">
        <v>1.e-02</v>
      </c>
    </row>
    <row r="48" ht="14.25">
      <c r="A48" t="s">
        <v>114</v>
      </c>
      <c r="B48" s="8">
        <v>8.722517821367605e-03</v>
      </c>
      <c r="C48">
        <v>2.0408163265306121e-02</v>
      </c>
      <c r="D48">
        <v>2.e-02</v>
      </c>
      <c r="E48" s="8">
        <v>1.6597760356728646e-02</v>
      </c>
      <c r="F48">
        <v>1.5180511981511019e-02</v>
      </c>
      <c r="G48" t="s">
        <v>115</v>
      </c>
      <c r="H48">
        <v>-1.1042604677220211</v>
      </c>
      <c r="I48" t="s">
        <v>111</v>
      </c>
      <c r="J48" t="s">
        <v>111</v>
      </c>
      <c r="K48" s="3">
        <v>1.e-02</v>
      </c>
    </row>
    <row r="49" ht="14.25">
      <c r="A49" t="s">
        <v>91</v>
      </c>
      <c r="B49" s="8">
        <v>1.3967312922660808e-02</v>
      </c>
      <c r="C49">
        <v>2.0408163265306121e-02</v>
      </c>
      <c r="D49">
        <v>2.e-02</v>
      </c>
      <c r="E49" s="8">
        <v>8.5540000809405867e-03</v>
      </c>
      <c r="F49">
        <v>6.4108137272936641e-03</v>
      </c>
      <c r="G49" t="s">
        <v>92</v>
      </c>
      <c r="H49">
        <v>0.15757600357970986</v>
      </c>
      <c r="I49" t="s">
        <v>110</v>
      </c>
      <c r="J49" t="s">
        <v>110</v>
      </c>
      <c r="K49" s="3">
        <v>1.e-02</v>
      </c>
    </row>
    <row r="50" ht="14.25">
      <c r="A50" t="s">
        <v>93</v>
      </c>
      <c r="B50" s="8">
        <v>2.0761949856863977e-02</v>
      </c>
      <c r="C50">
        <v>2.0408163265306121e-02</v>
      </c>
      <c r="D50">
        <v>2.e-02</v>
      </c>
      <c r="E50" s="8">
        <v>6.65355774922628e-03</v>
      </c>
      <c r="F50">
        <v>5.9523536624459406e-03</v>
      </c>
      <c r="G50" t="s">
        <v>94</v>
      </c>
      <c r="H50">
        <v>8.2642221039067307e-02</v>
      </c>
      <c r="I50" t="s">
        <v>111</v>
      </c>
      <c r="J50" t="s">
        <v>110</v>
      </c>
      <c r="K50" s="3">
        <v>1.e-02</v>
      </c>
    </row>
    <row r="51" ht="14.25">
      <c r="K51" s="6">
        <f>SUM(K2:K50)</f>
        <v>0.98722656325529701</v>
      </c>
    </row>
  </sheetData>
  <sortState ref="A2:K50" columnSort="0">
    <sortCondition sortBy="value" descending="0" ref="K2:K50"/>
  </sortState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id="{00E100EC-00ED-4A50-8472-002300120045}">
            <xm:f>NOT(ISERROR(SEARCH("$I$2",I1)))</xm:f>
            <xm:f>$I$2</xm:f>
            <x14:dxf>
              <font>
                <color theme="0" tint="0"/>
              </font>
              <fill>
                <patternFill patternType="solid">
                  <fgColor rgb="FF92D050"/>
                  <bgColor rgb="FF92D050"/>
                </patternFill>
              </fill>
            </x14:dxf>
          </x14:cfRule>
          <xm:sqref>I1 I2:J50</xm:sqref>
        </x14:conditionalFormatting>
        <x14:conditionalFormatting xmlns:xm="http://schemas.microsoft.com/office/excel/2006/main">
          <x14:cfRule type="containsText" priority="1" id="{007800F6-00C9-4AD5-94DC-00FD00DC0020}">
            <xm:f>NOT(ISERROR(SEARCH("$J$5",I2)))</xm:f>
            <xm:f>$J$5</xm:f>
            <x14:dxf>
              <font>
                <color theme="0" tint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I2:J50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2" max="2" width="27.57421875"/>
    <col bestFit="1" min="3" max="3" width="11.28125"/>
    <col bestFit="1" min="4" max="4" width="16.00390625"/>
  </cols>
  <sheetData>
    <row r="1">
      <c r="A1" t="s">
        <v>0</v>
      </c>
      <c r="B1" t="s">
        <v>1</v>
      </c>
      <c r="C1" t="s">
        <v>104</v>
      </c>
      <c r="D1" t="s">
        <v>105</v>
      </c>
    </row>
    <row r="2">
      <c r="A2" t="s">
        <v>7</v>
      </c>
      <c r="B2" t="s">
        <v>8</v>
      </c>
      <c r="C2">
        <v>3.2143601525958208e-02</v>
      </c>
      <c r="D2">
        <v>3.0331572144769642e-02</v>
      </c>
    </row>
    <row r="3">
      <c r="A3" t="s">
        <v>112</v>
      </c>
      <c r="B3" t="s">
        <v>113</v>
      </c>
      <c r="C3">
        <v>3.1871701862656261e-02</v>
      </c>
      <c r="D3">
        <v>3.0665677752748949e-02</v>
      </c>
    </row>
    <row r="4">
      <c r="A4" t="s">
        <v>3</v>
      </c>
      <c r="B4" t="s">
        <v>4</v>
      </c>
      <c r="C4">
        <v>3.1531755795003266e-02</v>
      </c>
      <c r="D4">
        <v>2.8260409731461683e-02</v>
      </c>
    </row>
    <row r="5">
      <c r="A5" t="s">
        <v>49</v>
      </c>
      <c r="B5" t="s">
        <v>50</v>
      </c>
      <c r="C5">
        <v>2.893379903462134e-02</v>
      </c>
      <c r="D5">
        <v>2.6260529050762992e-02</v>
      </c>
    </row>
    <row r="6">
      <c r="A6" t="s">
        <v>97</v>
      </c>
      <c r="B6" t="s">
        <v>98</v>
      </c>
      <c r="C6">
        <v>2.851519871229596e-02</v>
      </c>
      <c r="D6">
        <v>2.8219710980878238e-02</v>
      </c>
    </row>
    <row r="7">
      <c r="A7" t="s">
        <v>9</v>
      </c>
      <c r="B7" t="s">
        <v>10</v>
      </c>
      <c r="C7">
        <v>2.7574585097053655e-02</v>
      </c>
      <c r="D7">
        <v>2.5397789024274777e-02</v>
      </c>
    </row>
    <row r="8">
      <c r="A8" t="s">
        <v>19</v>
      </c>
      <c r="B8" t="s">
        <v>20</v>
      </c>
      <c r="C8">
        <v>2.7078487926170243e-02</v>
      </c>
      <c r="D8">
        <v>2.6718008216520581e-02</v>
      </c>
    </row>
    <row r="9">
      <c r="A9" t="s">
        <v>21</v>
      </c>
      <c r="B9" t="s">
        <v>22</v>
      </c>
      <c r="C9">
        <v>2.6839125932176772e-02</v>
      </c>
      <c r="D9">
        <v>2.3090098751289766e-02</v>
      </c>
    </row>
    <row r="10">
      <c r="A10" t="s">
        <v>29</v>
      </c>
      <c r="B10" t="s">
        <v>30</v>
      </c>
      <c r="C10">
        <v>2.6445868447535357e-02</v>
      </c>
      <c r="D10">
        <v>2.7604348503875494e-02</v>
      </c>
    </row>
    <row r="11">
      <c r="A11" t="s">
        <v>23</v>
      </c>
      <c r="B11" t="s">
        <v>24</v>
      </c>
      <c r="C11">
        <v>2.6433848901995568e-02</v>
      </c>
      <c r="D11">
        <v>2.7148073040647556e-02</v>
      </c>
    </row>
    <row r="12">
      <c r="A12" t="s">
        <v>5</v>
      </c>
      <c r="B12" t="s">
        <v>6</v>
      </c>
      <c r="C12">
        <v>2.6025021008364412e-02</v>
      </c>
      <c r="D12">
        <v>2.6284916823352836e-02</v>
      </c>
    </row>
    <row r="13">
      <c r="A13" t="s">
        <v>45</v>
      </c>
      <c r="B13" t="s">
        <v>46</v>
      </c>
      <c r="C13">
        <v>2.4793272877378598e-02</v>
      </c>
      <c r="D13">
        <v>2.313927302085074e-02</v>
      </c>
    </row>
    <row r="14">
      <c r="A14" t="s">
        <v>43</v>
      </c>
      <c r="B14" t="s">
        <v>44</v>
      </c>
      <c r="C14">
        <v>2.4546196260013559e-02</v>
      </c>
      <c r="D14">
        <v>2.5163957422166768e-02</v>
      </c>
    </row>
    <row r="15">
      <c r="A15" t="s">
        <v>35</v>
      </c>
      <c r="B15" t="s">
        <v>36</v>
      </c>
      <c r="C15">
        <v>2.4325660728316413e-02</v>
      </c>
      <c r="D15">
        <v>2.5405299789637917e-02</v>
      </c>
    </row>
    <row r="16">
      <c r="A16" t="s">
        <v>11</v>
      </c>
      <c r="B16" t="s">
        <v>12</v>
      </c>
      <c r="C16">
        <v>2.3897369690362824e-02</v>
      </c>
      <c r="D16">
        <v>2.4545667331601757e-02</v>
      </c>
    </row>
    <row r="17">
      <c r="A17" t="s">
        <v>37</v>
      </c>
      <c r="B17" t="s">
        <v>38</v>
      </c>
      <c r="C17">
        <v>2.2965803005836827e-02</v>
      </c>
      <c r="D17">
        <v>2.3433520570264064e-02</v>
      </c>
    </row>
    <row r="18">
      <c r="A18" t="s">
        <v>25</v>
      </c>
      <c r="B18" t="s">
        <v>26</v>
      </c>
      <c r="C18">
        <v>2.2839736371723297e-02</v>
      </c>
      <c r="D18">
        <v>2.3061894215715063e-02</v>
      </c>
    </row>
    <row r="19">
      <c r="A19" t="s">
        <v>17</v>
      </c>
      <c r="B19" t="s">
        <v>18</v>
      </c>
      <c r="C19">
        <v>2.2060389825519076e-02</v>
      </c>
      <c r="D19">
        <v>2.2279521045691825e-02</v>
      </c>
    </row>
    <row r="20">
      <c r="A20" t="s">
        <v>79</v>
      </c>
      <c r="B20" t="s">
        <v>80</v>
      </c>
      <c r="C20">
        <v>2.2047368389117247e-02</v>
      </c>
      <c r="D20">
        <v>2.0699924160647112e-02</v>
      </c>
    </row>
    <row r="21">
      <c r="A21" t="s">
        <v>39</v>
      </c>
      <c r="B21" t="s">
        <v>40</v>
      </c>
      <c r="C21">
        <v>2.1421690184277128e-02</v>
      </c>
      <c r="D21">
        <v>2.1831527430545332e-02</v>
      </c>
    </row>
    <row r="22">
      <c r="A22" t="s">
        <v>77</v>
      </c>
      <c r="B22" t="s">
        <v>78</v>
      </c>
      <c r="C22">
        <v>2.0549050371692343e-02</v>
      </c>
      <c r="D22">
        <v>2.2058815799647347e-02</v>
      </c>
    </row>
    <row r="23">
      <c r="A23" t="s">
        <v>13</v>
      </c>
      <c r="B23" t="s">
        <v>14</v>
      </c>
      <c r="C23">
        <v>2.0445243180562303e-02</v>
      </c>
      <c r="D23">
        <v>2.3214056325461377e-02</v>
      </c>
    </row>
    <row r="24">
      <c r="A24" t="s">
        <v>31</v>
      </c>
      <c r="B24" t="s">
        <v>32</v>
      </c>
      <c r="C24">
        <v>2.0012444575732428e-02</v>
      </c>
      <c r="D24">
        <v>2.1740488675159896e-02</v>
      </c>
    </row>
    <row r="25">
      <c r="A25" t="s">
        <v>75</v>
      </c>
      <c r="B25" t="s">
        <v>76</v>
      </c>
      <c r="C25">
        <v>1.9552999413721257e-02</v>
      </c>
      <c r="D25">
        <v>1.945789504697017e-02</v>
      </c>
    </row>
    <row r="26">
      <c r="A26" t="s">
        <v>65</v>
      </c>
      <c r="B26" t="s">
        <v>66</v>
      </c>
      <c r="C26">
        <v>1.9308995782066574e-02</v>
      </c>
      <c r="D26">
        <v>1.9524607597536655e-02</v>
      </c>
    </row>
    <row r="27">
      <c r="A27" t="s">
        <v>47</v>
      </c>
      <c r="B27" t="s">
        <v>48</v>
      </c>
      <c r="C27">
        <v>1.9013523049003254e-02</v>
      </c>
      <c r="D27">
        <v>2.0158856288917542e-02</v>
      </c>
    </row>
    <row r="28">
      <c r="A28" t="s">
        <v>53</v>
      </c>
      <c r="B28" t="s">
        <v>54</v>
      </c>
      <c r="C28">
        <v>1.8913600213045261e-02</v>
      </c>
      <c r="D28">
        <v>1.9110415905717437e-02</v>
      </c>
    </row>
    <row r="29">
      <c r="A29" t="s">
        <v>81</v>
      </c>
      <c r="B29" t="s">
        <v>82</v>
      </c>
      <c r="C29">
        <v>1.874215583554887e-02</v>
      </c>
      <c r="D29">
        <v>1.9238422941405375e-02</v>
      </c>
    </row>
    <row r="30">
      <c r="A30" t="s">
        <v>89</v>
      </c>
      <c r="B30" t="s">
        <v>90</v>
      </c>
      <c r="C30">
        <v>1.8405687436347413e-02</v>
      </c>
      <c r="D30">
        <v>1.5964232567827776e-02</v>
      </c>
    </row>
    <row r="31">
      <c r="A31" t="s">
        <v>27</v>
      </c>
      <c r="B31" t="s">
        <v>28</v>
      </c>
      <c r="C31">
        <v>1.8096899601574134e-02</v>
      </c>
      <c r="D31">
        <v>1.7724902901225619e-02</v>
      </c>
    </row>
    <row r="32">
      <c r="A32" t="s">
        <v>55</v>
      </c>
      <c r="B32" t="s">
        <v>56</v>
      </c>
      <c r="C32">
        <v>1.7893966192559316e-02</v>
      </c>
      <c r="D32">
        <v>1.9416536717555236e-02</v>
      </c>
    </row>
    <row r="33">
      <c r="A33" t="s">
        <v>57</v>
      </c>
      <c r="B33" t="s">
        <v>58</v>
      </c>
      <c r="C33">
        <v>1.760775740612322e-02</v>
      </c>
      <c r="D33">
        <v>1.9540681300995566e-02</v>
      </c>
    </row>
    <row r="34">
      <c r="A34" t="s">
        <v>85</v>
      </c>
      <c r="B34" t="s">
        <v>86</v>
      </c>
      <c r="C34">
        <v>1.7484425441616394e-02</v>
      </c>
      <c r="D34">
        <v>1.7579896756287797e-02</v>
      </c>
    </row>
    <row r="35">
      <c r="A35" t="s">
        <v>73</v>
      </c>
      <c r="B35" t="s">
        <v>74</v>
      </c>
      <c r="C35">
        <v>1.7109513563093651e-02</v>
      </c>
      <c r="D35">
        <v>1.9024574437613736e-02</v>
      </c>
    </row>
    <row r="36">
      <c r="A36" t="s">
        <v>114</v>
      </c>
      <c r="B36" t="s">
        <v>115</v>
      </c>
      <c r="C36">
        <v>1.6793354571876543e-02</v>
      </c>
      <c r="D36">
        <v>1.5993415127712147e-02</v>
      </c>
    </row>
    <row r="37">
      <c r="A37" t="s">
        <v>59</v>
      </c>
      <c r="B37" t="s">
        <v>60</v>
      </c>
      <c r="C37">
        <v>1.6523673662680028e-02</v>
      </c>
      <c r="D37">
        <v>1.6241136719312977e-02</v>
      </c>
    </row>
    <row r="38">
      <c r="A38" t="s">
        <v>83</v>
      </c>
      <c r="B38" t="s">
        <v>84</v>
      </c>
      <c r="C38">
        <v>1.5770448563117496e-02</v>
      </c>
      <c r="D38">
        <v>1.548332711953208e-02</v>
      </c>
    </row>
    <row r="39">
      <c r="A39" t="s">
        <v>51</v>
      </c>
      <c r="B39" t="s">
        <v>52</v>
      </c>
      <c r="C39">
        <v>1.566578048380424e-02</v>
      </c>
      <c r="D39">
        <v>1.7873873706073438e-02</v>
      </c>
    </row>
    <row r="40">
      <c r="A40" t="s">
        <v>61</v>
      </c>
      <c r="B40" t="s">
        <v>62</v>
      </c>
      <c r="C40">
        <v>1.5589108519986818e-02</v>
      </c>
      <c r="D40">
        <v>1.5900802149604501e-02</v>
      </c>
    </row>
    <row r="41">
      <c r="A41" t="s">
        <v>69</v>
      </c>
      <c r="B41" t="s">
        <v>69</v>
      </c>
      <c r="C41">
        <v>1.5232930493077505e-02</v>
      </c>
      <c r="D41">
        <v>1.4783082480086947e-02</v>
      </c>
    </row>
    <row r="42">
      <c r="A42" t="s">
        <v>33</v>
      </c>
      <c r="B42" t="s">
        <v>34</v>
      </c>
      <c r="C42">
        <v>1.4985046918843465e-02</v>
      </c>
      <c r="D42">
        <v>1.5865138644974609e-02</v>
      </c>
    </row>
    <row r="43">
      <c r="A43" t="s">
        <v>87</v>
      </c>
      <c r="B43" t="s">
        <v>88</v>
      </c>
      <c r="C43">
        <v>1.493761680239507e-02</v>
      </c>
      <c r="D43">
        <v>1.1218362766282746e-02</v>
      </c>
    </row>
    <row r="44">
      <c r="A44" t="s">
        <v>63</v>
      </c>
      <c r="B44" t="s">
        <v>64</v>
      </c>
      <c r="C44">
        <v>1.4571453172890065e-02</v>
      </c>
      <c r="D44">
        <v>1.5096304712945268e-02</v>
      </c>
    </row>
    <row r="45">
      <c r="A45" t="s">
        <v>70</v>
      </c>
      <c r="B45" t="s">
        <v>70</v>
      </c>
      <c r="C45">
        <v>1.3409514357475498e-02</v>
      </c>
      <c r="D45">
        <v>1.4525290604321554e-02</v>
      </c>
    </row>
    <row r="46">
      <c r="A46" t="s">
        <v>41</v>
      </c>
      <c r="B46" t="s">
        <v>42</v>
      </c>
      <c r="C46">
        <v>1.3307160273091515e-02</v>
      </c>
      <c r="D46">
        <v>1.4568912301207094e-02</v>
      </c>
    </row>
    <row r="47">
      <c r="A47" t="s">
        <v>71</v>
      </c>
      <c r="B47" t="s">
        <v>72</v>
      </c>
      <c r="C47">
        <v>1.2262543050968557e-02</v>
      </c>
      <c r="D47">
        <v>1.1647694489697357e-02</v>
      </c>
    </row>
    <row r="48">
      <c r="A48" t="s">
        <v>67</v>
      </c>
      <c r="B48" t="s">
        <v>68</v>
      </c>
      <c r="C48">
        <v>1.2052346190662703e-02</v>
      </c>
      <c r="D48">
        <v>1.4018757902764691e-02</v>
      </c>
    </row>
    <row r="49">
      <c r="A49" t="s">
        <v>91</v>
      </c>
      <c r="B49" t="s">
        <v>92</v>
      </c>
      <c r="C49">
        <v>1.063527880578488e-02</v>
      </c>
      <c r="D49">
        <v>9.68919607015537e-03</v>
      </c>
    </row>
    <row r="50">
      <c r="A50" t="s">
        <v>93</v>
      </c>
      <c r="B50" t="s">
        <v>94</v>
      </c>
      <c r="C50">
        <v>8.8881128671325464e-03</v>
      </c>
      <c r="D50">
        <v>8.8720870602199894e-03</v>
      </c>
    </row>
    <row r="51">
      <c r="A51" t="s">
        <v>15</v>
      </c>
      <c r="B51" t="s">
        <v>16</v>
      </c>
      <c r="C51">
        <v>3.9488876271505909e-03</v>
      </c>
      <c r="D51">
        <v>4.9265158750846222e-03</v>
      </c>
    </row>
    <row r="52">
      <c r="A52" t="s">
        <v>95</v>
      </c>
      <c r="B52" t="s">
        <v>96</v>
      </c>
      <c r="C52">
        <v>0</v>
      </c>
      <c r="D52">
        <v>0</v>
      </c>
    </row>
  </sheetData>
  <sortState ref="A2:D52" columnSort="0">
    <sortCondition sortBy="value" descending="0" ref="C2:C52"/>
  </sortState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2" activeCellId="0" sqref="B2:E45"/>
    </sheetView>
  </sheetViews>
  <sheetFormatPr defaultRowHeight="14.25"/>
  <sheetData>
    <row r="2"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</row>
    <row r="3">
      <c r="B3" t="e">
        <f>#REF!</f>
        <v>#REF!</v>
      </c>
      <c r="C3" t="e">
        <f>#REF!</f>
        <v>#REF!</v>
      </c>
      <c r="D3" t="e">
        <f>#REF!</f>
        <v>#REF!</v>
      </c>
      <c r="E3" t="e">
        <f>#REF!</f>
        <v>#REF!</v>
      </c>
    </row>
    <row r="4"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</row>
    <row r="5"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</row>
    <row r="6"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</row>
    <row r="7"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</row>
    <row r="8"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</row>
    <row r="9"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</row>
    <row r="10"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</row>
    <row r="11"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</row>
    <row r="12"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</row>
    <row r="13"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</row>
    <row r="14"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</row>
    <row r="15">
      <c r="B15" t="e">
        <f>#REF!</f>
        <v>#REF!</v>
      </c>
      <c r="C15" t="e">
        <f>#REF!</f>
        <v>#REF!</v>
      </c>
      <c r="D15" t="e">
        <f>#REF!</f>
        <v>#REF!</v>
      </c>
      <c r="E15" t="e">
        <f>#REF!</f>
        <v>#REF!</v>
      </c>
    </row>
    <row r="16">
      <c r="B16" t="e">
        <f>#REF!</f>
        <v>#REF!</v>
      </c>
      <c r="C16" t="e">
        <f>#REF!</f>
        <v>#REF!</v>
      </c>
      <c r="D16" t="e">
        <f>#REF!</f>
        <v>#REF!</v>
      </c>
      <c r="E16" t="e">
        <f>#REF!</f>
        <v>#REF!</v>
      </c>
    </row>
    <row r="17">
      <c r="B17" t="e">
        <f>#REF!</f>
        <v>#REF!</v>
      </c>
      <c r="C17" t="e">
        <f>#REF!</f>
        <v>#REF!</v>
      </c>
      <c r="D17" t="e">
        <f>#REF!</f>
        <v>#REF!</v>
      </c>
      <c r="E17" t="e">
        <f>#REF!</f>
        <v>#REF!</v>
      </c>
    </row>
    <row r="18"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</row>
    <row r="19"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</row>
    <row r="20"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</row>
    <row r="21"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</row>
    <row r="22"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</row>
    <row r="23"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</row>
    <row r="24"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</row>
    <row r="25"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</row>
    <row r="26"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</row>
    <row r="27"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</row>
    <row r="28"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</row>
    <row r="29">
      <c r="B29" t="e">
        <f>#REF!</f>
        <v>#REF!</v>
      </c>
      <c r="C29" t="e">
        <f>#REF!</f>
        <v>#REF!</v>
      </c>
      <c r="D29" t="e">
        <f>#REF!</f>
        <v>#REF!</v>
      </c>
      <c r="E29" t="e">
        <f>#REF!</f>
        <v>#REF!</v>
      </c>
    </row>
    <row r="30">
      <c r="B30" t="e">
        <f>#REF!</f>
        <v>#REF!</v>
      </c>
      <c r="C30" t="e">
        <f>#REF!</f>
        <v>#REF!</v>
      </c>
      <c r="D30" t="e">
        <f>#REF!</f>
        <v>#REF!</v>
      </c>
      <c r="E30" t="e">
        <f>#REF!</f>
        <v>#REF!</v>
      </c>
    </row>
    <row r="31">
      <c r="B31" t="e">
        <f>#REF!</f>
        <v>#REF!</v>
      </c>
      <c r="C31" t="e">
        <f>#REF!</f>
        <v>#REF!</v>
      </c>
      <c r="D31" t="e">
        <f>#REF!</f>
        <v>#REF!</v>
      </c>
      <c r="E31" t="e">
        <f>#REF!</f>
        <v>#REF!</v>
      </c>
    </row>
    <row r="32">
      <c r="B32" t="e">
        <f>#REF!</f>
        <v>#REF!</v>
      </c>
      <c r="C32" t="e">
        <f>#REF!</f>
        <v>#REF!</v>
      </c>
      <c r="D32" t="e">
        <f>#REF!</f>
        <v>#REF!</v>
      </c>
      <c r="E32" t="e">
        <f>#REF!</f>
        <v>#REF!</v>
      </c>
    </row>
    <row r="33">
      <c r="B33" t="e">
        <f>#REF!</f>
        <v>#REF!</v>
      </c>
      <c r="C33" t="e">
        <f>#REF!</f>
        <v>#REF!</v>
      </c>
      <c r="D33" t="e">
        <f>#REF!</f>
        <v>#REF!</v>
      </c>
      <c r="E33" t="e">
        <f>#REF!</f>
        <v>#REF!</v>
      </c>
    </row>
    <row r="34">
      <c r="B34" t="e">
        <f>#REF!</f>
        <v>#REF!</v>
      </c>
      <c r="C34" t="e">
        <f>#REF!</f>
        <v>#REF!</v>
      </c>
      <c r="D34" t="e">
        <f>#REF!</f>
        <v>#REF!</v>
      </c>
      <c r="E34" t="e">
        <f>#REF!</f>
        <v>#REF!</v>
      </c>
    </row>
    <row r="35">
      <c r="B35" t="e">
        <f>#REF!</f>
        <v>#REF!</v>
      </c>
      <c r="C35" t="e">
        <f>#REF!</f>
        <v>#REF!</v>
      </c>
      <c r="D35" t="e">
        <f>#REF!</f>
        <v>#REF!</v>
      </c>
      <c r="E35" t="e">
        <f>#REF!</f>
        <v>#REF!</v>
      </c>
    </row>
    <row r="36">
      <c r="B36" t="e">
        <f>#REF!</f>
        <v>#REF!</v>
      </c>
      <c r="C36" t="e">
        <f>#REF!</f>
        <v>#REF!</v>
      </c>
      <c r="D36" t="e">
        <f>#REF!</f>
        <v>#REF!</v>
      </c>
      <c r="E36" t="e">
        <f>#REF!</f>
        <v>#REF!</v>
      </c>
    </row>
    <row r="37">
      <c r="B37" t="e">
        <f>#REF!</f>
        <v>#REF!</v>
      </c>
      <c r="C37" t="e">
        <f>#REF!</f>
        <v>#REF!</v>
      </c>
      <c r="D37" t="e">
        <f>#REF!</f>
        <v>#REF!</v>
      </c>
      <c r="E37" t="e">
        <f>#REF!</f>
        <v>#REF!</v>
      </c>
    </row>
    <row r="38">
      <c r="B38" t="e">
        <f>#REF!</f>
        <v>#REF!</v>
      </c>
      <c r="C38" t="e">
        <f>#REF!</f>
        <v>#REF!</v>
      </c>
      <c r="D38" t="e">
        <f>#REF!</f>
        <v>#REF!</v>
      </c>
      <c r="E38" t="e">
        <f>#REF!</f>
        <v>#REF!</v>
      </c>
    </row>
    <row r="39">
      <c r="B39" t="e">
        <f>#REF!</f>
        <v>#REF!</v>
      </c>
      <c r="C39" t="e">
        <f>#REF!</f>
        <v>#REF!</v>
      </c>
      <c r="D39" t="e">
        <f>#REF!</f>
        <v>#REF!</v>
      </c>
      <c r="E39" t="e">
        <f>#REF!</f>
        <v>#REF!</v>
      </c>
    </row>
    <row r="40">
      <c r="B40" t="e">
        <f>#REF!</f>
        <v>#REF!</v>
      </c>
      <c r="C40" t="e">
        <f>#REF!</f>
        <v>#REF!</v>
      </c>
      <c r="D40" t="e">
        <f>#REF!</f>
        <v>#REF!</v>
      </c>
      <c r="E40" t="e">
        <f>#REF!</f>
        <v>#REF!</v>
      </c>
    </row>
    <row r="41">
      <c r="B41" t="e">
        <f>#REF!</f>
        <v>#REF!</v>
      </c>
      <c r="C41" t="e">
        <f>#REF!</f>
        <v>#REF!</v>
      </c>
      <c r="D41" t="e">
        <f>#REF!</f>
        <v>#REF!</v>
      </c>
      <c r="E41" t="e">
        <f>#REF!</f>
        <v>#REF!</v>
      </c>
    </row>
    <row r="42">
      <c r="B42" t="e">
        <f>#REF!</f>
        <v>#REF!</v>
      </c>
      <c r="C42" t="e">
        <f>#REF!</f>
        <v>#REF!</v>
      </c>
      <c r="D42" t="e">
        <f>#REF!</f>
        <v>#REF!</v>
      </c>
      <c r="E42" t="e">
        <f>#REF!</f>
        <v>#REF!</v>
      </c>
    </row>
    <row r="43">
      <c r="B43" t="e">
        <f>#REF!</f>
        <v>#REF!</v>
      </c>
      <c r="C43" t="e">
        <f>#REF!</f>
        <v>#REF!</v>
      </c>
      <c r="D43" t="e">
        <f>#REF!</f>
        <v>#REF!</v>
      </c>
      <c r="E43" t="e">
        <f>#REF!</f>
        <v>#REF!</v>
      </c>
    </row>
    <row r="44">
      <c r="B44" t="e">
        <f>#REF!</f>
        <v>#REF!</v>
      </c>
      <c r="C44" t="e">
        <f>#REF!</f>
        <v>#REF!</v>
      </c>
      <c r="D44" t="e">
        <f>#REF!</f>
        <v>#REF!</v>
      </c>
      <c r="E44" t="e">
        <f>#REF!</f>
        <v>#REF!</v>
      </c>
    </row>
    <row r="45">
      <c r="B45" t="e">
        <f>#REF!</f>
        <v>#REF!</v>
      </c>
      <c r="C45" t="e">
        <f>#REF!</f>
        <v>#REF!</v>
      </c>
      <c r="D45" t="e">
        <f>#REF!</f>
        <v>#REF!</v>
      </c>
      <c r="E45" t="e">
        <f>#REF!</f>
        <v>#REF!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ONLYOFFICE/7.3.3.50</Application>
  <Company/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7</cp:revision>
  <dcterms:modified xsi:type="dcterms:W3CDTF">2023-06-03T20:10:59Z</dcterms:modified>
</cp:coreProperties>
</file>