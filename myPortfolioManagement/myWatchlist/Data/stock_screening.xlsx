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327"/>
  <workbookPr/>
  <mc:AlternateContent xmlns:mc="http://schemas.openxmlformats.org/markup-compatibility/2006">
    <mc:Choice Requires="x15">
      <x15ac:absPath xmlns:x15ac="http://schemas.microsoft.com/office/spreadsheetml/2010/11/ac" url="S:\Investment Solutions Group\Quant_research\Moustafa\Github\QuantitativePortfolioManagement\myPortfolioManagement\myWatchlist\Data\"/>
    </mc:Choice>
  </mc:AlternateContent>
  <xr:revisionPtr revIDLastSave="0" documentId="13_ncr:1_{D6A9B52D-B1E2-4858-B659-F1DA4B342469}" xr6:coauthVersionLast="47" xr6:coauthVersionMax="47" xr10:uidLastSave="{00000000-0000-0000-0000-000000000000}"/>
  <bookViews>
    <workbookView xWindow="30612" yWindow="-108" windowWidth="30936" windowHeight="17496" activeTab="1" xr2:uid="{00000000-000D-0000-FFFF-FFFF00000000}"/>
  </bookViews>
  <sheets>
    <sheet name="Sheet5" sheetId="1" r:id="rId1"/>
    <sheet name="Sheet1" sheetId="2" r:id="rId2"/>
  </sheets>
  <definedNames>
    <definedName name="BBPTAutoColor_ShadowWksName" localSheetId="1" hidden="1">"BBPTACShadowWks0001"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2" l="1"/>
  <c r="G25" i="2"/>
  <c r="G4" i="2"/>
  <c r="G26" i="2"/>
  <c r="G5" i="2"/>
  <c r="G6" i="2"/>
  <c r="G7" i="2"/>
  <c r="G27" i="2"/>
  <c r="G8" i="2"/>
  <c r="G9" i="2"/>
  <c r="G10" i="2"/>
  <c r="G11" i="2"/>
  <c r="G28" i="2"/>
  <c r="G29" i="2"/>
  <c r="G12" i="2"/>
  <c r="G30" i="2"/>
  <c r="G31" i="2"/>
  <c r="G32" i="2"/>
  <c r="G33" i="2"/>
  <c r="G13" i="2"/>
  <c r="G34" i="2"/>
  <c r="G14" i="2"/>
  <c r="G35" i="2"/>
  <c r="G15" i="2"/>
  <c r="G16" i="2"/>
  <c r="G36" i="2"/>
  <c r="G17" i="2"/>
  <c r="G18" i="2"/>
  <c r="G37" i="2"/>
  <c r="G19" i="2"/>
  <c r="G20" i="2"/>
  <c r="G21" i="2"/>
  <c r="G38" i="2"/>
  <c r="G39" i="2"/>
  <c r="G40" i="2"/>
  <c r="G22" i="2"/>
  <c r="G41" i="2"/>
  <c r="G42" i="2"/>
  <c r="G43" i="2"/>
  <c r="G44" i="2"/>
  <c r="G23" i="2"/>
  <c r="G45" i="2"/>
  <c r="G24" i="2"/>
  <c r="G2" i="2"/>
  <c r="G45" i="1"/>
  <c r="G40" i="1"/>
  <c r="G39" i="1"/>
  <c r="G38" i="1"/>
  <c r="G37" i="1"/>
  <c r="G25" i="1"/>
  <c r="G24" i="1"/>
  <c r="G23" i="1"/>
  <c r="G21" i="1"/>
  <c r="G20" i="1"/>
  <c r="G19" i="1"/>
  <c r="G18" i="1"/>
  <c r="G17" i="1"/>
  <c r="G16" i="1"/>
  <c r="G15" i="1"/>
  <c r="G9" i="1"/>
  <c r="G7" i="1"/>
  <c r="G6" i="1"/>
  <c r="G5" i="1"/>
  <c r="G4" i="1"/>
  <c r="G3" i="1"/>
</calcChain>
</file>

<file path=xl/sharedStrings.xml><?xml version="1.0" encoding="utf-8"?>
<sst xmlns="http://schemas.openxmlformats.org/spreadsheetml/2006/main" count="234" uniqueCount="101">
  <si>
    <t>YahooTicker</t>
  </si>
  <si>
    <t>Company</t>
  </si>
  <si>
    <t>port_inverse_vol</t>
  </si>
  <si>
    <t>port_naive</t>
  </si>
  <si>
    <t>port_min_vol</t>
  </si>
  <si>
    <t>weight</t>
  </si>
  <si>
    <t>adjusted_weights</t>
  </si>
  <si>
    <t>NESN.SW</t>
  </si>
  <si>
    <t>Nestle</t>
  </si>
  <si>
    <t>MRNA</t>
  </si>
  <si>
    <t>Moderna</t>
  </si>
  <si>
    <t>JNJ</t>
  </si>
  <si>
    <t>Johnson</t>
  </si>
  <si>
    <t>CTVA</t>
  </si>
  <si>
    <t>Corteva</t>
  </si>
  <si>
    <t>ODFL</t>
  </si>
  <si>
    <t>Old Dominion Freight Line, Inc.</t>
  </si>
  <si>
    <t>PANW</t>
  </si>
  <si>
    <t>Palo Alto</t>
  </si>
  <si>
    <t>SHW</t>
  </si>
  <si>
    <t>The Sherwin-Williams Company</t>
  </si>
  <si>
    <t>V</t>
  </si>
  <si>
    <t>Visa</t>
  </si>
  <si>
    <t>AAPL</t>
  </si>
  <si>
    <t>Apple</t>
  </si>
  <si>
    <t>HUBS</t>
  </si>
  <si>
    <t>HubSpot</t>
  </si>
  <si>
    <t>ABBV</t>
  </si>
  <si>
    <t>Abbvie</t>
  </si>
  <si>
    <t>ECL</t>
  </si>
  <si>
    <t>Ecolab Inc.</t>
  </si>
  <si>
    <t>SMT.L</t>
  </si>
  <si>
    <t>SMT</t>
  </si>
  <si>
    <t>COST</t>
  </si>
  <si>
    <t>Costco</t>
  </si>
  <si>
    <t>NVO</t>
  </si>
  <si>
    <t>Novo Nordisk</t>
  </si>
  <si>
    <t>TMO</t>
  </si>
  <si>
    <t>Thermo Fisher</t>
  </si>
  <si>
    <t>CRM</t>
  </si>
  <si>
    <t>Salesforce</t>
  </si>
  <si>
    <t>LIN</t>
  </si>
  <si>
    <t>Linde</t>
  </si>
  <si>
    <t>MSFT</t>
  </si>
  <si>
    <t>Microsoft Corp</t>
  </si>
  <si>
    <t>GOOGL</t>
  </si>
  <si>
    <t>Alphabet Inc.</t>
  </si>
  <si>
    <t>TSLA</t>
  </si>
  <si>
    <t>Tesla</t>
  </si>
  <si>
    <t>ASML</t>
  </si>
  <si>
    <t>NVDA</t>
  </si>
  <si>
    <t>NVIDIA</t>
  </si>
  <si>
    <t>AMZN</t>
  </si>
  <si>
    <t>Amazon</t>
  </si>
  <si>
    <t>MC.PA</t>
  </si>
  <si>
    <t>LVMH</t>
  </si>
  <si>
    <t>FAS.L</t>
  </si>
  <si>
    <t>Fidelity Asian</t>
  </si>
  <si>
    <t>EL</t>
  </si>
  <si>
    <t>Estee Lauder</t>
  </si>
  <si>
    <t>ALB</t>
  </si>
  <si>
    <t>Albemarle</t>
  </si>
  <si>
    <t>DE</t>
  </si>
  <si>
    <t>Deere</t>
  </si>
  <si>
    <t>DG.PA</t>
  </si>
  <si>
    <t>VINCI</t>
  </si>
  <si>
    <t>SMSN.IL</t>
  </si>
  <si>
    <t>Samsung Electronics</t>
  </si>
  <si>
    <t>HVPE.L</t>
  </si>
  <si>
    <t>HarbourVest</t>
  </si>
  <si>
    <t>JPM</t>
  </si>
  <si>
    <t>JPMorgan</t>
  </si>
  <si>
    <t>BHP</t>
  </si>
  <si>
    <t>RIO</t>
  </si>
  <si>
    <t>Rio Tinto</t>
  </si>
  <si>
    <t>MELI</t>
  </si>
  <si>
    <t>MercadoLibre</t>
  </si>
  <si>
    <t>NOW</t>
  </si>
  <si>
    <t>ServiceNow</t>
  </si>
  <si>
    <t>LRCX</t>
  </si>
  <si>
    <t>Lam Research Corporation</t>
  </si>
  <si>
    <t>CRWD</t>
  </si>
  <si>
    <t>CrowdStrike</t>
  </si>
  <si>
    <t>AMAT</t>
  </si>
  <si>
    <t>Applied Materials, Inc.</t>
  </si>
  <si>
    <t>III.L</t>
  </si>
  <si>
    <t>3i Group</t>
  </si>
  <si>
    <t>9984.T</t>
  </si>
  <si>
    <t>SoftBank</t>
  </si>
  <si>
    <t>TM</t>
  </si>
  <si>
    <t>Toyota Motor</t>
  </si>
  <si>
    <t>ENPH</t>
  </si>
  <si>
    <t>Enphase Energy</t>
  </si>
  <si>
    <t>Average_Growth_Fair_Price</t>
  </si>
  <si>
    <t>average_growth</t>
  </si>
  <si>
    <t>cagr</t>
  </si>
  <si>
    <t>Overvalued</t>
  </si>
  <si>
    <t>Undervalued</t>
  </si>
  <si>
    <t>Valuation_based_on_Fair_Price</t>
  </si>
  <si>
    <t>Valuation_based_on_Longet_Expected_Growth</t>
  </si>
  <si>
    <t>Total_Signal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</si>
</sst>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scheme val="minor"/>
    </font>
    <font>
      <sz val="11"/>
      <color theme="1"/>
      <name val="Calibri"/>
      <scheme val="minor"/>
    </font>
    <font>
      <sz val="11"/>
      <color rgb="FF0000FF"/>
      <name val="Calibri"/>
      <scheme val="minor"/>
    </font>
  </fonts>
  <fills count="3">
    <fill>
      <patternFill patternType="none"/>
    </fill>
    <fill>
      <patternFill patternType="gray125"/>
    </fill>
    <fill>
      <patternFill patternType="none"/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2" borderId="0" applyFont="0" applyFill="0" applyBorder="0"/>
  </cellStyleXfs>
  <cellXfs count="6">
    <xf numFmtId="0" fontId="0" fillId="0" borderId="0" xfId="0"/>
    <xf numFmtId="0" fontId="0" fillId="0" borderId="0" xfId="0" applyAlignment="1">
      <alignment horizontal="center"/>
    </xf>
    <xf numFmtId="9" fontId="0" fillId="0" borderId="0" xfId="1" applyFill="1" applyAlignment="1">
      <alignment horizontal="center"/>
    </xf>
    <xf numFmtId="10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9" fontId="2" fillId="0" borderId="0" xfId="1" applyFont="1" applyFill="1" applyAlignment="1">
      <alignment horizontal="center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New 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46"/>
  <sheetViews>
    <sheetView workbookViewId="0">
      <selection activeCell="B26" sqref="B26"/>
    </sheetView>
  </sheetViews>
  <sheetFormatPr defaultColWidth="9.109375" defaultRowHeight="14.4" x14ac:dyDescent="0.3"/>
  <cols>
    <col min="1" max="1" width="11" style="1" bestFit="1"/>
    <col min="2" max="2" width="38.109375" style="1" bestFit="1"/>
    <col min="3" max="5" width="0" style="1" hidden="1" customWidth="1"/>
    <col min="6" max="6" width="9.109375" style="1" customWidth="1"/>
    <col min="7" max="7" width="16.21875" style="1" bestFit="1"/>
    <col min="8" max="16384" width="9.109375" style="1"/>
  </cols>
  <sheetData>
    <row r="1" spans="1:7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 x14ac:dyDescent="0.3">
      <c r="A2" s="1" t="s">
        <v>7</v>
      </c>
      <c r="B2" s="1" t="s">
        <v>8</v>
      </c>
      <c r="C2" s="2">
        <v>4.2428896893803671E-2</v>
      </c>
      <c r="D2" s="2">
        <v>2.0833333333333332E-2</v>
      </c>
      <c r="E2" s="2">
        <v>0.06</v>
      </c>
      <c r="F2" s="2">
        <v>2.5302492307641311E-2</v>
      </c>
      <c r="G2" s="3">
        <v>0.05</v>
      </c>
    </row>
    <row r="3" spans="1:7" x14ac:dyDescent="0.3">
      <c r="A3" s="1" t="s">
        <v>9</v>
      </c>
      <c r="B3" s="1" t="s">
        <v>10</v>
      </c>
      <c r="C3" s="2">
        <v>9.2713416435435732E-3</v>
      </c>
      <c r="D3" s="2">
        <v>2.0833333333333332E-2</v>
      </c>
      <c r="E3" s="2">
        <v>0.02</v>
      </c>
      <c r="F3" s="2">
        <v>4.8928419145517842E-2</v>
      </c>
      <c r="G3" s="3">
        <f>F3</f>
        <v>4.8928419145517842E-2</v>
      </c>
    </row>
    <row r="4" spans="1:7" x14ac:dyDescent="0.3">
      <c r="A4" s="1" t="s">
        <v>11</v>
      </c>
      <c r="B4" s="1" t="s">
        <v>12</v>
      </c>
      <c r="C4" s="2">
        <v>3.4890758733423823E-2</v>
      </c>
      <c r="D4" s="2">
        <v>2.0833333333333332E-2</v>
      </c>
      <c r="E4" s="2">
        <v>0.02</v>
      </c>
      <c r="F4" s="2">
        <v>2.0157569312047121E-2</v>
      </c>
      <c r="G4" s="3">
        <f>C4</f>
        <v>3.4890758733423823E-2</v>
      </c>
    </row>
    <row r="5" spans="1:7" x14ac:dyDescent="0.3">
      <c r="A5" s="1" t="s">
        <v>13</v>
      </c>
      <c r="B5" s="1" t="s">
        <v>14</v>
      </c>
      <c r="C5" s="2">
        <v>2.03755884043107E-2</v>
      </c>
      <c r="D5" s="2">
        <v>2.0833333333333332E-2</v>
      </c>
      <c r="E5" s="2">
        <v>0.02</v>
      </c>
      <c r="F5" s="2">
        <v>3.4518221413069941E-2</v>
      </c>
      <c r="G5" s="3">
        <f>F5</f>
        <v>3.4518221413069941E-2</v>
      </c>
    </row>
    <row r="6" spans="1:7" x14ac:dyDescent="0.3">
      <c r="A6" s="1" t="s">
        <v>15</v>
      </c>
      <c r="B6" s="1" t="s">
        <v>16</v>
      </c>
      <c r="C6" s="2">
        <v>2.0539848084286841E-2</v>
      </c>
      <c r="D6" s="2">
        <v>2.0833333333333332E-2</v>
      </c>
      <c r="E6" s="2">
        <v>0.02</v>
      </c>
      <c r="F6" s="2">
        <v>3.3776344501499078E-2</v>
      </c>
      <c r="G6" s="3">
        <f>F6</f>
        <v>3.3776344501499078E-2</v>
      </c>
    </row>
    <row r="7" spans="1:7" x14ac:dyDescent="0.3">
      <c r="A7" s="1" t="s">
        <v>17</v>
      </c>
      <c r="B7" s="1" t="s">
        <v>18</v>
      </c>
      <c r="C7" s="2">
        <v>1.8012707750456939E-2</v>
      </c>
      <c r="D7" s="2">
        <v>2.0833333333333332E-2</v>
      </c>
      <c r="E7" s="2">
        <v>0.02</v>
      </c>
      <c r="F7" s="2">
        <v>3.2835946059265889E-2</v>
      </c>
      <c r="G7" s="3">
        <f>F7</f>
        <v>3.2835946059265889E-2</v>
      </c>
    </row>
    <row r="8" spans="1:7" x14ac:dyDescent="0.3">
      <c r="A8" s="1" t="s">
        <v>19</v>
      </c>
      <c r="B8" s="1" t="s">
        <v>20</v>
      </c>
      <c r="C8" s="2">
        <v>2.2686030700726965E-2</v>
      </c>
      <c r="D8" s="2">
        <v>2.0833333333333332E-2</v>
      </c>
      <c r="E8" s="2">
        <v>0.02</v>
      </c>
      <c r="F8" s="2">
        <v>3.1265559319801052E-2</v>
      </c>
      <c r="G8" s="3">
        <v>1.95E-2</v>
      </c>
    </row>
    <row r="9" spans="1:7" x14ac:dyDescent="0.3">
      <c r="A9" s="1" t="s">
        <v>21</v>
      </c>
      <c r="B9" s="1" t="s">
        <v>22</v>
      </c>
      <c r="C9" s="2">
        <v>2.3867883602741967E-2</v>
      </c>
      <c r="D9" s="2">
        <v>2.0833333333333332E-2</v>
      </c>
      <c r="E9" s="2">
        <v>0.02</v>
      </c>
      <c r="F9" s="2">
        <v>3.0063657758193672E-2</v>
      </c>
      <c r="G9" s="3">
        <f>F9</f>
        <v>3.0063657758193672E-2</v>
      </c>
    </row>
    <row r="10" spans="1:7" x14ac:dyDescent="0.3">
      <c r="A10" s="1" t="s">
        <v>23</v>
      </c>
      <c r="B10" s="1" t="s">
        <v>24</v>
      </c>
      <c r="C10" s="2">
        <v>2.1351113489313362E-2</v>
      </c>
      <c r="D10" s="2">
        <v>2.0833333333333332E-2</v>
      </c>
      <c r="E10" s="2">
        <v>0.02</v>
      </c>
      <c r="F10" s="2">
        <v>3.9811439155027065E-2</v>
      </c>
      <c r="G10" s="3">
        <v>0.03</v>
      </c>
    </row>
    <row r="11" spans="1:7" x14ac:dyDescent="0.3">
      <c r="A11" s="1" t="s">
        <v>25</v>
      </c>
      <c r="B11" s="1" t="s">
        <v>26</v>
      </c>
      <c r="C11" s="2">
        <v>1.2329257097950847E-2</v>
      </c>
      <c r="D11" s="2">
        <v>2.0833333333333332E-2</v>
      </c>
      <c r="E11" s="2">
        <v>0.02</v>
      </c>
      <c r="F11" s="2">
        <v>3.6090532033435922E-2</v>
      </c>
      <c r="G11" s="3">
        <v>0.03</v>
      </c>
    </row>
    <row r="12" spans="1:7" x14ac:dyDescent="0.3">
      <c r="A12" s="1" t="s">
        <v>27</v>
      </c>
      <c r="B12" s="1" t="s">
        <v>28</v>
      </c>
      <c r="C12" s="2">
        <v>2.7228132466618191E-2</v>
      </c>
      <c r="D12" s="2">
        <v>2.0833333333333332E-2</v>
      </c>
      <c r="E12" s="2">
        <v>0.02</v>
      </c>
      <c r="F12" s="2">
        <v>2.7978252255846565E-2</v>
      </c>
      <c r="G12" s="3">
        <v>0.03</v>
      </c>
    </row>
    <row r="13" spans="1:7" x14ac:dyDescent="0.3">
      <c r="A13" s="1" t="s">
        <v>29</v>
      </c>
      <c r="B13" s="1" t="s">
        <v>30</v>
      </c>
      <c r="C13" s="2">
        <v>2.1733961556537715E-2</v>
      </c>
      <c r="D13" s="2">
        <v>2.0833333333333332E-2</v>
      </c>
      <c r="E13" s="2">
        <v>0.02</v>
      </c>
      <c r="F13" s="2">
        <v>1.8299199428233333E-2</v>
      </c>
      <c r="G13" s="3">
        <v>0.03</v>
      </c>
    </row>
    <row r="14" spans="1:7" x14ac:dyDescent="0.3">
      <c r="A14" s="1" t="s">
        <v>31</v>
      </c>
      <c r="B14" s="1" t="s">
        <v>32</v>
      </c>
      <c r="C14" s="2">
        <v>1.9784797312714018E-2</v>
      </c>
      <c r="D14" s="2">
        <v>2.0833333333333332E-2</v>
      </c>
      <c r="E14" s="2">
        <v>0.02</v>
      </c>
      <c r="F14" s="2">
        <v>1.6493974081134153E-2</v>
      </c>
      <c r="G14" s="3">
        <v>0.03</v>
      </c>
    </row>
    <row r="15" spans="1:7" x14ac:dyDescent="0.3">
      <c r="A15" s="1" t="s">
        <v>33</v>
      </c>
      <c r="B15" s="1" t="s">
        <v>34</v>
      </c>
      <c r="C15" s="2">
        <v>2.8742296970054444E-2</v>
      </c>
      <c r="D15" s="2">
        <v>2.0833333333333332E-2</v>
      </c>
      <c r="E15" s="2">
        <v>0.02</v>
      </c>
      <c r="F15" s="2">
        <v>2.7384142703506212E-2</v>
      </c>
      <c r="G15" s="3">
        <f>F15</f>
        <v>2.7384142703506212E-2</v>
      </c>
    </row>
    <row r="16" spans="1:7" x14ac:dyDescent="0.3">
      <c r="A16" s="1" t="s">
        <v>35</v>
      </c>
      <c r="B16" s="1" t="s">
        <v>36</v>
      </c>
      <c r="C16" s="2">
        <v>2.5796074786475501E-2</v>
      </c>
      <c r="D16" s="2">
        <v>2.0833333333333332E-2</v>
      </c>
      <c r="E16" s="2">
        <v>0.02</v>
      </c>
      <c r="F16" s="2">
        <v>3.7395037561493635E-2</v>
      </c>
      <c r="G16" s="3">
        <f>C16</f>
        <v>2.5796074786475501E-2</v>
      </c>
    </row>
    <row r="17" spans="1:7" x14ac:dyDescent="0.3">
      <c r="A17" s="1" t="s">
        <v>37</v>
      </c>
      <c r="B17" s="1" t="s">
        <v>38</v>
      </c>
      <c r="C17" s="2">
        <v>2.4441347496073344E-2</v>
      </c>
      <c r="D17" s="2">
        <v>2.0833333333333332E-2</v>
      </c>
      <c r="E17" s="2">
        <v>0.02</v>
      </c>
      <c r="F17" s="2">
        <v>2.496000394731715E-2</v>
      </c>
      <c r="G17" s="3">
        <f>F17</f>
        <v>2.496000394731715E-2</v>
      </c>
    </row>
    <row r="18" spans="1:7" x14ac:dyDescent="0.3">
      <c r="A18" s="1" t="s">
        <v>39</v>
      </c>
      <c r="B18" s="1" t="s">
        <v>40</v>
      </c>
      <c r="C18" s="2">
        <v>1.7863195457190846E-2</v>
      </c>
      <c r="D18" s="2">
        <v>2.0833333333333332E-2</v>
      </c>
      <c r="E18" s="2">
        <v>0.02</v>
      </c>
      <c r="F18" s="2">
        <v>2.4651545033075494E-2</v>
      </c>
      <c r="G18" s="3">
        <f>F18</f>
        <v>2.4651545033075494E-2</v>
      </c>
    </row>
    <row r="19" spans="1:7" x14ac:dyDescent="0.3">
      <c r="A19" s="1" t="s">
        <v>41</v>
      </c>
      <c r="B19" s="1" t="s">
        <v>42</v>
      </c>
      <c r="C19" s="2">
        <v>2.5852862096841372E-2</v>
      </c>
      <c r="D19" s="2">
        <v>2.0833333333333332E-2</v>
      </c>
      <c r="E19" s="2">
        <v>0.02</v>
      </c>
      <c r="F19" s="2">
        <v>2.1890762184110152E-2</v>
      </c>
      <c r="G19" s="3">
        <f>F19</f>
        <v>2.1890762184110152E-2</v>
      </c>
    </row>
    <row r="20" spans="1:7" x14ac:dyDescent="0.3">
      <c r="A20" s="1" t="s">
        <v>43</v>
      </c>
      <c r="B20" s="1" t="s">
        <v>44</v>
      </c>
      <c r="C20" s="2">
        <v>2.2435365353819892E-2</v>
      </c>
      <c r="D20" s="2">
        <v>2.0833333333333332E-2</v>
      </c>
      <c r="E20" s="2">
        <v>0.02</v>
      </c>
      <c r="F20" s="2">
        <v>2.169219804095994E-2</v>
      </c>
      <c r="G20" s="3">
        <f>F20</f>
        <v>2.169219804095994E-2</v>
      </c>
    </row>
    <row r="21" spans="1:7" x14ac:dyDescent="0.3">
      <c r="A21" s="1" t="s">
        <v>45</v>
      </c>
      <c r="B21" s="1" t="s">
        <v>46</v>
      </c>
      <c r="C21" s="2">
        <v>2.1956766716564872E-2</v>
      </c>
      <c r="D21" s="2">
        <v>2.0833333333333332E-2</v>
      </c>
      <c r="E21" s="2">
        <v>0.02</v>
      </c>
      <c r="F21" s="2">
        <v>2.1189945364298565E-2</v>
      </c>
      <c r="G21" s="3">
        <f>F21</f>
        <v>2.1189945364298565E-2</v>
      </c>
    </row>
    <row r="22" spans="1:7" x14ac:dyDescent="0.3">
      <c r="A22" s="1" t="s">
        <v>47</v>
      </c>
      <c r="B22" s="1" t="s">
        <v>48</v>
      </c>
      <c r="C22" s="2">
        <v>1.0647967061666187E-2</v>
      </c>
      <c r="D22" s="2">
        <v>2.0833333333333332E-2</v>
      </c>
      <c r="E22" s="2">
        <v>0.02</v>
      </c>
      <c r="F22" s="2">
        <v>4.4286848481480894E-2</v>
      </c>
      <c r="G22" s="3">
        <v>0.02</v>
      </c>
    </row>
    <row r="23" spans="1:7" x14ac:dyDescent="0.3">
      <c r="A23" s="1" t="s">
        <v>49</v>
      </c>
      <c r="B23" s="1" t="s">
        <v>49</v>
      </c>
      <c r="C23" s="2">
        <v>1.689785141061274E-2</v>
      </c>
      <c r="D23" s="2">
        <v>2.0833333333333332E-2</v>
      </c>
      <c r="E23" s="2">
        <v>0.02</v>
      </c>
      <c r="F23" s="2">
        <v>3.0029653994266037E-2</v>
      </c>
      <c r="G23" s="3">
        <f>E23</f>
        <v>0.02</v>
      </c>
    </row>
    <row r="24" spans="1:7" x14ac:dyDescent="0.3">
      <c r="A24" s="1" t="s">
        <v>50</v>
      </c>
      <c r="B24" s="1" t="s">
        <v>51</v>
      </c>
      <c r="C24" s="2">
        <v>1.3403843718414746E-2</v>
      </c>
      <c r="D24" s="2">
        <v>2.0833333333333332E-2</v>
      </c>
      <c r="E24" s="2">
        <v>0.02</v>
      </c>
      <c r="F24" s="2">
        <v>2.8406018086975009E-2</v>
      </c>
      <c r="G24" s="3">
        <f>E24</f>
        <v>0.02</v>
      </c>
    </row>
    <row r="25" spans="1:7" x14ac:dyDescent="0.3">
      <c r="A25" s="1" t="s">
        <v>52</v>
      </c>
      <c r="B25" s="1" t="s">
        <v>53</v>
      </c>
      <c r="C25" s="2">
        <v>1.9804448441433569E-2</v>
      </c>
      <c r="D25" s="2">
        <v>2.0833333333333332E-2</v>
      </c>
      <c r="E25" s="2">
        <v>0.02</v>
      </c>
      <c r="F25" s="2">
        <v>2.7621891460379928E-2</v>
      </c>
      <c r="G25" s="3">
        <f>E25</f>
        <v>0.02</v>
      </c>
    </row>
    <row r="26" spans="1:7" x14ac:dyDescent="0.3">
      <c r="A26" s="1" t="s">
        <v>54</v>
      </c>
      <c r="B26" s="1" t="s">
        <v>55</v>
      </c>
      <c r="C26" s="2">
        <v>2.3998878123522194E-2</v>
      </c>
      <c r="D26" s="2">
        <v>2.0833333333333332E-2</v>
      </c>
      <c r="E26" s="2">
        <v>0.02</v>
      </c>
      <c r="F26" s="2">
        <v>2.5414819766212279E-2</v>
      </c>
      <c r="G26" s="3">
        <v>0.02</v>
      </c>
    </row>
    <row r="27" spans="1:7" x14ac:dyDescent="0.3">
      <c r="A27" s="1" t="s">
        <v>56</v>
      </c>
      <c r="B27" s="1" t="s">
        <v>57</v>
      </c>
      <c r="C27" s="2">
        <v>3.1513879611344525E-2</v>
      </c>
      <c r="D27" s="2">
        <v>2.0833333333333332E-2</v>
      </c>
      <c r="E27" s="2">
        <v>0.02</v>
      </c>
      <c r="F27" s="2">
        <v>1.5711023672308057E-2</v>
      </c>
      <c r="G27" s="3">
        <v>0.02</v>
      </c>
    </row>
    <row r="28" spans="1:7" x14ac:dyDescent="0.3">
      <c r="A28" s="1" t="s">
        <v>58</v>
      </c>
      <c r="B28" s="1" t="s">
        <v>59</v>
      </c>
      <c r="C28" s="2">
        <v>2.0276276670988493E-2</v>
      </c>
      <c r="D28" s="2">
        <v>2.0833333333333332E-2</v>
      </c>
      <c r="E28" s="2">
        <v>0.02</v>
      </c>
      <c r="F28" s="2">
        <v>1.5197707493997629E-2</v>
      </c>
      <c r="G28" s="3">
        <v>0.02</v>
      </c>
    </row>
    <row r="29" spans="1:7" x14ac:dyDescent="0.3">
      <c r="A29" s="1" t="s">
        <v>60</v>
      </c>
      <c r="B29" s="1" t="s">
        <v>61</v>
      </c>
      <c r="C29" s="2">
        <v>1.4096116526678273E-2</v>
      </c>
      <c r="D29" s="2">
        <v>2.0833333333333332E-2</v>
      </c>
      <c r="E29" s="2">
        <v>0.02</v>
      </c>
      <c r="F29" s="2">
        <v>1.3808940402987918E-2</v>
      </c>
      <c r="G29" s="3">
        <v>0.02</v>
      </c>
    </row>
    <row r="30" spans="1:7" x14ac:dyDescent="0.3">
      <c r="A30" s="1" t="s">
        <v>62</v>
      </c>
      <c r="B30" s="1" t="s">
        <v>63</v>
      </c>
      <c r="C30" s="2">
        <v>2.0692687094918349E-2</v>
      </c>
      <c r="D30" s="2">
        <v>2.0833333333333332E-2</v>
      </c>
      <c r="E30" s="2">
        <v>0.02</v>
      </c>
      <c r="F30" s="2">
        <v>1.3159698118948121E-2</v>
      </c>
      <c r="G30" s="3">
        <v>0.02</v>
      </c>
    </row>
    <row r="31" spans="1:7" x14ac:dyDescent="0.3">
      <c r="A31" s="1" t="s">
        <v>64</v>
      </c>
      <c r="B31" s="1" t="s">
        <v>65</v>
      </c>
      <c r="C31" s="2">
        <v>2.160040159626108E-2</v>
      </c>
      <c r="D31" s="2">
        <v>2.0833333333333332E-2</v>
      </c>
      <c r="E31" s="2">
        <v>0.02</v>
      </c>
      <c r="F31" s="2">
        <v>1.2934042139201875E-2</v>
      </c>
      <c r="G31" s="3">
        <v>0.02</v>
      </c>
    </row>
    <row r="32" spans="1:7" x14ac:dyDescent="0.3">
      <c r="A32" s="1" t="s">
        <v>66</v>
      </c>
      <c r="B32" s="1" t="s">
        <v>67</v>
      </c>
      <c r="C32" s="2">
        <v>2.3304058052545519E-2</v>
      </c>
      <c r="D32" s="2">
        <v>2.0833333333333332E-2</v>
      </c>
      <c r="E32" s="2">
        <v>0.02</v>
      </c>
      <c r="F32" s="2">
        <v>1.236041936625918E-2</v>
      </c>
      <c r="G32" s="3">
        <v>0.02</v>
      </c>
    </row>
    <row r="33" spans="1:7" x14ac:dyDescent="0.3">
      <c r="A33" s="1" t="s">
        <v>68</v>
      </c>
      <c r="B33" s="1" t="s">
        <v>69</v>
      </c>
      <c r="C33" s="2">
        <v>2.161415439008707E-2</v>
      </c>
      <c r="D33" s="2">
        <v>2.0833333333333332E-2</v>
      </c>
      <c r="E33" s="2">
        <v>0.02</v>
      </c>
      <c r="F33" s="2">
        <v>7.3383094688469477E-3</v>
      </c>
      <c r="G33" s="3">
        <v>0.02</v>
      </c>
    </row>
    <row r="34" spans="1:7" x14ac:dyDescent="0.3">
      <c r="A34" s="1" t="s">
        <v>70</v>
      </c>
      <c r="B34" s="1" t="s">
        <v>71</v>
      </c>
      <c r="C34" s="2">
        <v>2.0900702529818883E-2</v>
      </c>
      <c r="D34" s="2">
        <v>2.0833333333333332E-2</v>
      </c>
      <c r="E34" s="2">
        <v>0.02</v>
      </c>
      <c r="F34" s="2">
        <v>6.875614222857266E-3</v>
      </c>
      <c r="G34" s="3">
        <v>0.02</v>
      </c>
    </row>
    <row r="35" spans="1:7" x14ac:dyDescent="0.3">
      <c r="A35" s="1" t="s">
        <v>72</v>
      </c>
      <c r="B35" s="1" t="s">
        <v>72</v>
      </c>
      <c r="C35" s="2">
        <v>1.9394393757223016E-2</v>
      </c>
      <c r="D35" s="2">
        <v>2.0833333333333332E-2</v>
      </c>
      <c r="E35" s="2">
        <v>0.02</v>
      </c>
      <c r="F35" s="2">
        <v>2.3393619405226141E-3</v>
      </c>
      <c r="G35" s="3">
        <v>1.4999999999999999E-2</v>
      </c>
    </row>
    <row r="36" spans="1:7" x14ac:dyDescent="0.3">
      <c r="A36" s="1" t="s">
        <v>73</v>
      </c>
      <c r="B36" s="1" t="s">
        <v>74</v>
      </c>
      <c r="C36" s="2">
        <v>2.0535100495627935E-2</v>
      </c>
      <c r="D36" s="2">
        <v>2.0833333333333332E-2</v>
      </c>
      <c r="E36" s="2">
        <v>0.02</v>
      </c>
      <c r="F36" s="2">
        <v>0</v>
      </c>
      <c r="G36" s="3">
        <v>1.4999999999999999E-2</v>
      </c>
    </row>
    <row r="37" spans="1:7" x14ac:dyDescent="0.3">
      <c r="A37" s="1" t="s">
        <v>75</v>
      </c>
      <c r="B37" s="1" t="s">
        <v>76</v>
      </c>
      <c r="C37" s="2">
        <v>1.2655874306439645E-2</v>
      </c>
      <c r="D37" s="2">
        <v>2.0833333333333332E-2</v>
      </c>
      <c r="E37" s="2">
        <v>0.02</v>
      </c>
      <c r="F37" s="2">
        <v>1.6801811436122298E-2</v>
      </c>
      <c r="G37" s="3">
        <f>F37</f>
        <v>1.6801811436122298E-2</v>
      </c>
    </row>
    <row r="38" spans="1:7" x14ac:dyDescent="0.3">
      <c r="A38" s="1" t="s">
        <v>77</v>
      </c>
      <c r="B38" s="1" t="s">
        <v>78</v>
      </c>
      <c r="C38" s="2">
        <v>1.6102432591667184E-2</v>
      </c>
      <c r="D38" s="2">
        <v>2.0833333333333332E-2</v>
      </c>
      <c r="E38" s="2">
        <v>0.02</v>
      </c>
      <c r="F38" s="2">
        <v>4.1987666814559052E-2</v>
      </c>
      <c r="G38" s="3">
        <f>C38</f>
        <v>1.6102432591667184E-2</v>
      </c>
    </row>
    <row r="39" spans="1:7" x14ac:dyDescent="0.3">
      <c r="A39" s="1" t="s">
        <v>79</v>
      </c>
      <c r="B39" s="1" t="s">
        <v>80</v>
      </c>
      <c r="C39" s="2">
        <v>1.4402900092067421E-2</v>
      </c>
      <c r="D39" s="2">
        <v>2.0833333333333332E-2</v>
      </c>
      <c r="E39" s="2">
        <v>0.02</v>
      </c>
      <c r="F39" s="2">
        <v>1.5745147629476024E-2</v>
      </c>
      <c r="G39" s="3">
        <f>C39</f>
        <v>1.4402900092067421E-2</v>
      </c>
    </row>
    <row r="40" spans="1:7" x14ac:dyDescent="0.3">
      <c r="A40" s="1" t="s">
        <v>81</v>
      </c>
      <c r="B40" s="1" t="s">
        <v>82</v>
      </c>
      <c r="C40" s="2">
        <v>1.1634644682155557E-2</v>
      </c>
      <c r="D40" s="2">
        <v>2.0833333333333332E-2</v>
      </c>
      <c r="E40" s="2">
        <v>0.02</v>
      </c>
      <c r="F40" s="2">
        <v>1.5384308603232153E-2</v>
      </c>
      <c r="G40" s="3">
        <f>C40</f>
        <v>1.1634644682155557E-2</v>
      </c>
    </row>
    <row r="41" spans="1:7" x14ac:dyDescent="0.3">
      <c r="A41" s="1" t="s">
        <v>83</v>
      </c>
      <c r="B41" s="1" t="s">
        <v>84</v>
      </c>
      <c r="C41" s="2">
        <v>1.5071359013861849E-2</v>
      </c>
      <c r="D41" s="2">
        <v>2.0833333333333332E-2</v>
      </c>
      <c r="E41" s="2">
        <v>0.02</v>
      </c>
      <c r="F41" s="2">
        <v>1.2935820015561653E-2</v>
      </c>
      <c r="G41" s="3">
        <v>0.01</v>
      </c>
    </row>
    <row r="42" spans="1:7" x14ac:dyDescent="0.3">
      <c r="A42" s="1" t="s">
        <v>85</v>
      </c>
      <c r="B42" s="1" t="s">
        <v>86</v>
      </c>
      <c r="C42" s="2">
        <v>2.1408835907846046E-2</v>
      </c>
      <c r="D42" s="2">
        <v>2.0833333333333332E-2</v>
      </c>
      <c r="E42" s="2">
        <v>0.02</v>
      </c>
      <c r="F42" s="2">
        <v>4.2694038565339616E-4</v>
      </c>
      <c r="G42" s="3">
        <v>0.01</v>
      </c>
    </row>
    <row r="43" spans="1:7" x14ac:dyDescent="0.3">
      <c r="A43" s="1" t="s">
        <v>87</v>
      </c>
      <c r="B43" s="1" t="s">
        <v>88</v>
      </c>
      <c r="F43" s="2">
        <v>0</v>
      </c>
      <c r="G43" s="3">
        <v>0.01</v>
      </c>
    </row>
    <row r="44" spans="1:7" x14ac:dyDescent="0.3">
      <c r="A44" s="1" t="s">
        <v>89</v>
      </c>
      <c r="B44" s="1" t="s">
        <v>90</v>
      </c>
      <c r="F44" s="2">
        <v>0</v>
      </c>
      <c r="G44" s="3">
        <v>0.01</v>
      </c>
    </row>
    <row r="45" spans="1:7" x14ac:dyDescent="0.3">
      <c r="A45" s="1" t="s">
        <v>91</v>
      </c>
      <c r="B45" s="1" t="s">
        <v>92</v>
      </c>
      <c r="C45" s="2">
        <v>8.9995222710261401E-3</v>
      </c>
      <c r="D45" s="2">
        <v>2.0833333333333332E-2</v>
      </c>
      <c r="E45" s="2">
        <v>0.02</v>
      </c>
      <c r="F45" s="2">
        <v>1.95975087815001E-2</v>
      </c>
      <c r="G45" s="3">
        <f>C45</f>
        <v>8.9995222710261401E-3</v>
      </c>
    </row>
    <row r="46" spans="1:7" x14ac:dyDescent="0.3">
      <c r="G46" s="3"/>
    </row>
  </sheetData>
  <sortState xmlns:xlrd2="http://schemas.microsoft.com/office/spreadsheetml/2017/richdata2" ref="A2:G45">
    <sortCondition ref="G2:G45"/>
  </sortState>
  <pageMargins left="0.70078740157480324" right="0.70078740157480324" top="0.75196850393700787" bottom="0.75196850393700787" header="0.3" footer="0.3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9D48A2-1913-4D2B-A85B-CFBC074F4844}">
  <dimension ref="A1:G45"/>
  <sheetViews>
    <sheetView tabSelected="1" workbookViewId="0">
      <selection activeCell="J15" sqref="J15"/>
    </sheetView>
  </sheetViews>
  <sheetFormatPr defaultRowHeight="14.4" x14ac:dyDescent="0.3"/>
  <cols>
    <col min="1" max="1" width="11.109375" bestFit="1" customWidth="1"/>
    <col min="2" max="2" width="24" bestFit="1" customWidth="1"/>
    <col min="3" max="3" width="14.33203125" bestFit="1" customWidth="1"/>
    <col min="4" max="4" width="12" bestFit="1" customWidth="1"/>
    <col min="5" max="5" width="14.21875" customWidth="1"/>
    <col min="6" max="6" width="40.5546875" bestFit="1" customWidth="1"/>
    <col min="7" max="7" width="10.88671875" bestFit="1" customWidth="1"/>
  </cols>
  <sheetData>
    <row r="1" spans="1:7" x14ac:dyDescent="0.3">
      <c r="A1" s="4" t="s">
        <v>0</v>
      </c>
      <c r="B1" s="4" t="s">
        <v>93</v>
      </c>
      <c r="C1" s="4" t="s">
        <v>94</v>
      </c>
      <c r="D1" s="4" t="s">
        <v>95</v>
      </c>
      <c r="E1" s="4" t="s">
        <v>98</v>
      </c>
      <c r="F1" s="4" t="s">
        <v>99</v>
      </c>
      <c r="G1" s="4" t="s">
        <v>100</v>
      </c>
    </row>
    <row r="2" spans="1:7" x14ac:dyDescent="0.3">
      <c r="A2" s="1" t="s">
        <v>7</v>
      </c>
      <c r="B2" s="5">
        <v>9.9970796643688395E-2</v>
      </c>
      <c r="C2" s="5">
        <v>0.101985403125379</v>
      </c>
      <c r="D2" s="5">
        <v>0.106288285637747</v>
      </c>
      <c r="E2" t="s">
        <v>96</v>
      </c>
      <c r="F2" t="s">
        <v>96</v>
      </c>
      <c r="G2" s="1">
        <f>IF(E2=F2,1,0)</f>
        <v>1</v>
      </c>
    </row>
    <row r="3" spans="1:7" x14ac:dyDescent="0.3">
      <c r="A3" s="1" t="s">
        <v>9</v>
      </c>
      <c r="B3" s="5">
        <v>0.98151043516972403</v>
      </c>
      <c r="C3" s="5">
        <v>1.0317619262255</v>
      </c>
      <c r="D3" s="5">
        <v>0.54933115493879503</v>
      </c>
      <c r="E3" t="s">
        <v>97</v>
      </c>
      <c r="F3" t="s">
        <v>97</v>
      </c>
      <c r="G3" s="1">
        <f>IF(E3=F3,1,0)</f>
        <v>1</v>
      </c>
    </row>
    <row r="4" spans="1:7" x14ac:dyDescent="0.3">
      <c r="A4" s="1" t="s">
        <v>13</v>
      </c>
      <c r="B4" s="5">
        <v>0.28865692014155803</v>
      </c>
      <c r="C4" s="5">
        <v>0.24619264609123601</v>
      </c>
      <c r="D4" s="5">
        <v>0.194024803218727</v>
      </c>
      <c r="E4" t="s">
        <v>97</v>
      </c>
      <c r="F4" t="s">
        <v>97</v>
      </c>
      <c r="G4" s="1">
        <f>IF(E4=F4,1,0)</f>
        <v>1</v>
      </c>
    </row>
    <row r="5" spans="1:7" x14ac:dyDescent="0.3">
      <c r="A5" s="1" t="s">
        <v>17</v>
      </c>
      <c r="B5" s="5">
        <v>0.29466072231986601</v>
      </c>
      <c r="C5" s="5">
        <v>0.26876264149425599</v>
      </c>
      <c r="D5" s="5">
        <v>0.25025459434137498</v>
      </c>
      <c r="E5" t="s">
        <v>97</v>
      </c>
      <c r="F5" t="s">
        <v>97</v>
      </c>
      <c r="G5" s="1">
        <f>IF(E5=F5,1,0)</f>
        <v>1</v>
      </c>
    </row>
    <row r="6" spans="1:7" x14ac:dyDescent="0.3">
      <c r="A6" s="1" t="s">
        <v>19</v>
      </c>
      <c r="B6" s="5">
        <v>0.218614844706468</v>
      </c>
      <c r="C6" s="5">
        <v>0.19484210005236099</v>
      </c>
      <c r="D6" s="5">
        <v>0.17873356689161399</v>
      </c>
      <c r="E6" t="s">
        <v>97</v>
      </c>
      <c r="F6" t="s">
        <v>97</v>
      </c>
      <c r="G6" s="1">
        <f>IF(E6=F6,1,0)</f>
        <v>1</v>
      </c>
    </row>
    <row r="7" spans="1:7" x14ac:dyDescent="0.3">
      <c r="A7" s="1" t="s">
        <v>21</v>
      </c>
      <c r="B7" s="5">
        <v>0.32933821305133298</v>
      </c>
      <c r="C7" s="5">
        <v>0.207119923656712</v>
      </c>
      <c r="D7" s="5">
        <v>0.20364921211867101</v>
      </c>
      <c r="E7" t="s">
        <v>97</v>
      </c>
      <c r="F7" t="s">
        <v>97</v>
      </c>
      <c r="G7" s="1">
        <f>IF(E7=F7,1,0)</f>
        <v>1</v>
      </c>
    </row>
    <row r="8" spans="1:7" x14ac:dyDescent="0.3">
      <c r="A8" s="1" t="s">
        <v>25</v>
      </c>
      <c r="B8" s="5">
        <v>2.3927270922232302</v>
      </c>
      <c r="C8" s="5">
        <v>0.39657642323685999</v>
      </c>
      <c r="D8" s="5">
        <v>0.39815606473322102</v>
      </c>
      <c r="E8" t="s">
        <v>97</v>
      </c>
      <c r="F8" t="s">
        <v>97</v>
      </c>
      <c r="G8" s="1">
        <f>IF(E8=F8,1,0)</f>
        <v>1</v>
      </c>
    </row>
    <row r="9" spans="1:7" x14ac:dyDescent="0.3">
      <c r="A9" s="1" t="s">
        <v>27</v>
      </c>
      <c r="B9" s="5">
        <v>0.18425078478161799</v>
      </c>
      <c r="C9" s="5">
        <v>0.19146059189326101</v>
      </c>
      <c r="D9" s="5">
        <v>0.19176179557152301</v>
      </c>
      <c r="E9" t="s">
        <v>96</v>
      </c>
      <c r="F9" t="s">
        <v>96</v>
      </c>
      <c r="G9" s="1">
        <f>IF(E9=F9,1,0)</f>
        <v>1</v>
      </c>
    </row>
    <row r="10" spans="1:7" x14ac:dyDescent="0.3">
      <c r="A10" s="1" t="s">
        <v>29</v>
      </c>
      <c r="B10" s="5">
        <v>0.12419544040043499</v>
      </c>
      <c r="C10" s="5">
        <v>0.11469918332133799</v>
      </c>
      <c r="D10" s="5">
        <v>0.103334534457071</v>
      </c>
      <c r="E10" t="s">
        <v>97</v>
      </c>
      <c r="F10" t="s">
        <v>97</v>
      </c>
      <c r="G10" s="1">
        <f>IF(E10=F10,1,0)</f>
        <v>1</v>
      </c>
    </row>
    <row r="11" spans="1:7" x14ac:dyDescent="0.3">
      <c r="A11" s="1" t="s">
        <v>31</v>
      </c>
      <c r="B11" s="5">
        <v>0.17083091079549201</v>
      </c>
      <c r="C11" s="5">
        <v>0.17277316539733001</v>
      </c>
      <c r="D11" s="5">
        <v>0.14782143877565199</v>
      </c>
      <c r="E11" t="s">
        <v>97</v>
      </c>
      <c r="F11" t="s">
        <v>97</v>
      </c>
      <c r="G11" s="1">
        <f>IF(E11=F11,1,0)</f>
        <v>1</v>
      </c>
    </row>
    <row r="12" spans="1:7" x14ac:dyDescent="0.3">
      <c r="A12" s="1" t="s">
        <v>37</v>
      </c>
      <c r="B12" s="5">
        <v>0.18126835237963199</v>
      </c>
      <c r="C12" s="5">
        <v>0.19833597144979101</v>
      </c>
      <c r="D12" s="5">
        <v>0.17254837819544</v>
      </c>
      <c r="E12" t="s">
        <v>97</v>
      </c>
      <c r="F12" t="s">
        <v>97</v>
      </c>
      <c r="G12" s="1">
        <f>IF(E12=F12,1,0)</f>
        <v>1</v>
      </c>
    </row>
    <row r="13" spans="1:7" x14ac:dyDescent="0.3">
      <c r="A13" s="1" t="s">
        <v>47</v>
      </c>
      <c r="B13" s="5">
        <v>0.20078479058550699</v>
      </c>
      <c r="C13" s="5">
        <v>0.75214400668558601</v>
      </c>
      <c r="D13" s="5">
        <v>0.454941645076201</v>
      </c>
      <c r="E13" t="s">
        <v>96</v>
      </c>
      <c r="F13" t="s">
        <v>96</v>
      </c>
      <c r="G13" s="1">
        <f>IF(E13=F13,1,0)</f>
        <v>1</v>
      </c>
    </row>
    <row r="14" spans="1:7" x14ac:dyDescent="0.3">
      <c r="A14" s="1" t="s">
        <v>50</v>
      </c>
      <c r="B14" s="5">
        <v>-0.109585220803599</v>
      </c>
      <c r="C14" s="5">
        <v>0.41992662898633698</v>
      </c>
      <c r="D14" s="5">
        <v>0.34067323407837802</v>
      </c>
      <c r="E14" t="s">
        <v>96</v>
      </c>
      <c r="F14" t="s">
        <v>96</v>
      </c>
      <c r="G14" s="1">
        <f>IF(E14=F14,1,0)</f>
        <v>1</v>
      </c>
    </row>
    <row r="15" spans="1:7" x14ac:dyDescent="0.3">
      <c r="A15" s="1" t="s">
        <v>54</v>
      </c>
      <c r="B15" s="5">
        <v>0.169095800608214</v>
      </c>
      <c r="C15" s="5">
        <v>0.19465768931489899</v>
      </c>
      <c r="D15" s="5">
        <v>0.18179410375442101</v>
      </c>
      <c r="E15" t="s">
        <v>96</v>
      </c>
      <c r="F15" t="s">
        <v>96</v>
      </c>
      <c r="G15" s="1">
        <f>IF(E15=F15,1,0)</f>
        <v>1</v>
      </c>
    </row>
    <row r="16" spans="1:7" x14ac:dyDescent="0.3">
      <c r="A16" s="1" t="s">
        <v>56</v>
      </c>
      <c r="B16" s="5">
        <v>0.114509145994084</v>
      </c>
      <c r="C16" s="5">
        <v>0.13059970073365601</v>
      </c>
      <c r="D16" s="5">
        <v>0.12809784487696901</v>
      </c>
      <c r="E16" t="s">
        <v>96</v>
      </c>
      <c r="F16" t="s">
        <v>96</v>
      </c>
      <c r="G16" s="1">
        <f>IF(E16=F16,1,0)</f>
        <v>1</v>
      </c>
    </row>
    <row r="17" spans="1:7" x14ac:dyDescent="0.3">
      <c r="A17" s="1" t="s">
        <v>60</v>
      </c>
      <c r="B17" s="5">
        <v>0.15501347719973099</v>
      </c>
      <c r="C17" s="5">
        <v>0.218056534670166</v>
      </c>
      <c r="D17" s="5">
        <v>0.158607267250652</v>
      </c>
      <c r="E17" t="s">
        <v>96</v>
      </c>
      <c r="F17" t="s">
        <v>96</v>
      </c>
      <c r="G17" s="1">
        <f>IF(E17=F17,1,0)</f>
        <v>1</v>
      </c>
    </row>
    <row r="18" spans="1:7" x14ac:dyDescent="0.3">
      <c r="A18" s="1" t="s">
        <v>62</v>
      </c>
      <c r="B18" s="5">
        <v>0.15739486650644599</v>
      </c>
      <c r="C18" s="5">
        <v>0.203094908512398</v>
      </c>
      <c r="D18" s="5">
        <v>0.156620395964024</v>
      </c>
      <c r="E18" t="s">
        <v>97</v>
      </c>
      <c r="F18" t="s">
        <v>97</v>
      </c>
      <c r="G18" s="1">
        <f>IF(E18=F18,1,0)</f>
        <v>1</v>
      </c>
    </row>
    <row r="19" spans="1:7" x14ac:dyDescent="0.3">
      <c r="A19" s="1" t="s">
        <v>66</v>
      </c>
      <c r="B19" s="5">
        <v>0.122606506612831</v>
      </c>
      <c r="C19" s="5">
        <v>0.131741486984437</v>
      </c>
      <c r="D19" s="5">
        <v>0.122521158585505</v>
      </c>
      <c r="E19" t="s">
        <v>97</v>
      </c>
      <c r="F19" t="s">
        <v>97</v>
      </c>
      <c r="G19" s="1">
        <f>IF(E19=F19,1,0)</f>
        <v>1</v>
      </c>
    </row>
    <row r="20" spans="1:7" x14ac:dyDescent="0.3">
      <c r="A20" s="1" t="s">
        <v>68</v>
      </c>
      <c r="B20" s="5">
        <v>0.111075451346054</v>
      </c>
      <c r="C20" s="5">
        <v>0.115278812689219</v>
      </c>
      <c r="D20" s="5">
        <v>7.4393108678841802E-2</v>
      </c>
      <c r="E20" t="s">
        <v>97</v>
      </c>
      <c r="F20" t="s">
        <v>97</v>
      </c>
      <c r="G20" s="1">
        <f>IF(E20=F20,1,0)</f>
        <v>1</v>
      </c>
    </row>
    <row r="21" spans="1:7" x14ac:dyDescent="0.3">
      <c r="A21" s="1" t="s">
        <v>70</v>
      </c>
      <c r="B21" s="5">
        <v>0.104586758410462</v>
      </c>
      <c r="C21" s="5">
        <v>0.119424168116938</v>
      </c>
      <c r="D21" s="5">
        <v>0.100006193741087</v>
      </c>
      <c r="E21" t="s">
        <v>97</v>
      </c>
      <c r="F21" t="s">
        <v>97</v>
      </c>
      <c r="G21" s="1">
        <f>IF(E21=F21,1,0)</f>
        <v>1</v>
      </c>
    </row>
    <row r="22" spans="1:7" x14ac:dyDescent="0.3">
      <c r="A22" s="1" t="s">
        <v>77</v>
      </c>
      <c r="B22" s="5">
        <v>0.44055576557985998</v>
      </c>
      <c r="C22" s="5">
        <v>0.30456059573857602</v>
      </c>
      <c r="D22" s="5">
        <v>0.32258355807496403</v>
      </c>
      <c r="E22" t="s">
        <v>97</v>
      </c>
      <c r="F22" t="s">
        <v>97</v>
      </c>
      <c r="G22" s="1">
        <f>IF(E22=F22,1,0)</f>
        <v>1</v>
      </c>
    </row>
    <row r="23" spans="1:7" x14ac:dyDescent="0.3">
      <c r="A23" s="1" t="s">
        <v>87</v>
      </c>
      <c r="B23" s="5">
        <v>0.125274791591893</v>
      </c>
      <c r="C23" s="5">
        <v>0.15273684407320801</v>
      </c>
      <c r="D23" s="5">
        <v>0.110675914332829</v>
      </c>
      <c r="E23" t="s">
        <v>97</v>
      </c>
      <c r="F23" t="s">
        <v>97</v>
      </c>
      <c r="G23" s="1">
        <f>IF(E23=F23,1,0)</f>
        <v>1</v>
      </c>
    </row>
    <row r="24" spans="1:7" x14ac:dyDescent="0.3">
      <c r="A24" s="1" t="s">
        <v>91</v>
      </c>
      <c r="B24" s="5">
        <v>-1.05989528613491</v>
      </c>
      <c r="C24" s="5">
        <v>0.85194215273173302</v>
      </c>
      <c r="D24" s="5">
        <v>0.317295898120312</v>
      </c>
      <c r="E24" t="s">
        <v>96</v>
      </c>
      <c r="F24" t="s">
        <v>96</v>
      </c>
      <c r="G24" s="1">
        <f>IF(E24=F24,1,0)</f>
        <v>1</v>
      </c>
    </row>
    <row r="25" spans="1:7" x14ac:dyDescent="0.3">
      <c r="A25" s="1" t="s">
        <v>11</v>
      </c>
      <c r="B25" s="5">
        <v>9.2823084107623896E-2</v>
      </c>
      <c r="C25" s="5">
        <v>8.6107328724277593E-2</v>
      </c>
      <c r="D25" s="5">
        <v>8.0605697431397699E-2</v>
      </c>
      <c r="E25" t="s">
        <v>97</v>
      </c>
      <c r="F25" t="s">
        <v>96</v>
      </c>
      <c r="G25" s="1">
        <f>IF(E25=F25,1,0)</f>
        <v>0</v>
      </c>
    </row>
    <row r="26" spans="1:7" x14ac:dyDescent="0.3">
      <c r="A26" s="1" t="s">
        <v>15</v>
      </c>
      <c r="B26" s="5">
        <v>0.25737222515886998</v>
      </c>
      <c r="C26" s="5">
        <v>0.264015440055545</v>
      </c>
      <c r="D26" s="5">
        <v>0.23549379396068601</v>
      </c>
      <c r="E26" t="s">
        <v>97</v>
      </c>
      <c r="F26" t="s">
        <v>96</v>
      </c>
      <c r="G26" s="1">
        <f>IF(E26=F26,1,0)</f>
        <v>0</v>
      </c>
    </row>
    <row r="27" spans="1:7" x14ac:dyDescent="0.3">
      <c r="A27" s="1" t="s">
        <v>23</v>
      </c>
      <c r="B27" s="5">
        <v>0.37050596267036101</v>
      </c>
      <c r="C27" s="5">
        <v>0.332560367596687</v>
      </c>
      <c r="D27" s="5">
        <v>0.32511549819935198</v>
      </c>
      <c r="E27" t="s">
        <v>97</v>
      </c>
      <c r="F27" t="s">
        <v>96</v>
      </c>
      <c r="G27" s="1">
        <f>IF(E27=F27,1,0)</f>
        <v>0</v>
      </c>
    </row>
    <row r="28" spans="1:7" x14ac:dyDescent="0.3">
      <c r="A28" s="1" t="s">
        <v>33</v>
      </c>
      <c r="B28" s="5">
        <v>0.17030647941480401</v>
      </c>
      <c r="C28" s="5">
        <v>0.17194869695885401</v>
      </c>
      <c r="D28" s="5">
        <v>0.15768070759451</v>
      </c>
      <c r="E28" t="s">
        <v>97</v>
      </c>
      <c r="F28" t="s">
        <v>96</v>
      </c>
      <c r="G28" s="1">
        <f>IF(E28=F28,1,0)</f>
        <v>0</v>
      </c>
    </row>
    <row r="29" spans="1:7" x14ac:dyDescent="0.3">
      <c r="A29" s="1" t="s">
        <v>35</v>
      </c>
      <c r="B29" s="5">
        <v>0.260828233241854</v>
      </c>
      <c r="C29" s="5">
        <v>0.24091632556471601</v>
      </c>
      <c r="D29" s="5">
        <v>0.22998027477465499</v>
      </c>
      <c r="E29" t="s">
        <v>97</v>
      </c>
      <c r="F29" t="s">
        <v>96</v>
      </c>
      <c r="G29" s="1">
        <f>IF(E29=F29,1,0)</f>
        <v>0</v>
      </c>
    </row>
    <row r="30" spans="1:7" x14ac:dyDescent="0.3">
      <c r="A30" s="1" t="s">
        <v>39</v>
      </c>
      <c r="B30" s="5">
        <v>0.31888434651229502</v>
      </c>
      <c r="C30" s="5">
        <v>0.25084992615227703</v>
      </c>
      <c r="D30" s="5">
        <v>0.23268368589841101</v>
      </c>
      <c r="E30" t="s">
        <v>97</v>
      </c>
      <c r="F30" t="s">
        <v>96</v>
      </c>
      <c r="G30" s="1">
        <f>IF(E30=F30,1,0)</f>
        <v>0</v>
      </c>
    </row>
    <row r="31" spans="1:7" x14ac:dyDescent="0.3">
      <c r="A31" s="1" t="s">
        <v>41</v>
      </c>
      <c r="B31" s="5">
        <v>0.13065299184822601</v>
      </c>
      <c r="C31" s="5">
        <v>0.14408931459799501</v>
      </c>
      <c r="D31" s="5">
        <v>0.14488679467899401</v>
      </c>
      <c r="E31" t="s">
        <v>96</v>
      </c>
      <c r="F31" t="s">
        <v>97</v>
      </c>
      <c r="G31" s="1">
        <f>IF(E31=F31,1,0)</f>
        <v>0</v>
      </c>
    </row>
    <row r="32" spans="1:7" x14ac:dyDescent="0.3">
      <c r="A32" s="1" t="s">
        <v>43</v>
      </c>
      <c r="B32" s="5">
        <v>0.174325524492352</v>
      </c>
      <c r="C32" s="5">
        <v>0.17621967780467601</v>
      </c>
      <c r="D32" s="5">
        <v>0.16788391335097599</v>
      </c>
      <c r="E32" t="s">
        <v>97</v>
      </c>
      <c r="F32" t="s">
        <v>96</v>
      </c>
      <c r="G32" s="1">
        <f>IF(E32=F32,1,0)</f>
        <v>0</v>
      </c>
    </row>
    <row r="33" spans="1:7" x14ac:dyDescent="0.3">
      <c r="A33" s="1" t="s">
        <v>45</v>
      </c>
      <c r="B33" s="5">
        <v>0.16529579084087501</v>
      </c>
      <c r="C33" s="5">
        <v>0.177974942678155</v>
      </c>
      <c r="D33" s="5">
        <v>0.192659231354779</v>
      </c>
      <c r="E33" t="s">
        <v>96</v>
      </c>
      <c r="F33" t="s">
        <v>97</v>
      </c>
      <c r="G33" s="1">
        <f>IF(E33=F33,1,0)</f>
        <v>0</v>
      </c>
    </row>
    <row r="34" spans="1:7" x14ac:dyDescent="0.3">
      <c r="A34" s="1" t="s">
        <v>49</v>
      </c>
      <c r="B34" s="5">
        <v>0.26647883052564197</v>
      </c>
      <c r="C34" s="5">
        <v>0.28620659383586</v>
      </c>
      <c r="D34" s="5">
        <v>0.25738084386337301</v>
      </c>
      <c r="E34" t="s">
        <v>97</v>
      </c>
      <c r="F34" t="s">
        <v>96</v>
      </c>
      <c r="G34" s="1">
        <f>IF(E34=F34,1,0)</f>
        <v>0</v>
      </c>
    </row>
    <row r="35" spans="1:7" x14ac:dyDescent="0.3">
      <c r="A35" s="1" t="s">
        <v>52</v>
      </c>
      <c r="B35" s="5">
        <v>0.43585832695777099</v>
      </c>
      <c r="C35" s="5">
        <v>0.27918412898754602</v>
      </c>
      <c r="D35" s="5">
        <v>0.243669960636097</v>
      </c>
      <c r="E35" t="s">
        <v>97</v>
      </c>
      <c r="F35" t="s">
        <v>96</v>
      </c>
      <c r="G35" s="1">
        <f>IF(E35=F35,1,0)</f>
        <v>0</v>
      </c>
    </row>
    <row r="36" spans="1:7" x14ac:dyDescent="0.3">
      <c r="A36" s="1" t="s">
        <v>58</v>
      </c>
      <c r="B36" s="5">
        <v>0.20246599802829099</v>
      </c>
      <c r="C36" s="5">
        <v>0.18986732833786099</v>
      </c>
      <c r="D36" s="5">
        <v>0.138003977094487</v>
      </c>
      <c r="E36" t="s">
        <v>97</v>
      </c>
      <c r="F36" t="s">
        <v>96</v>
      </c>
      <c r="G36" s="1">
        <f>IF(E36=F36,1,0)</f>
        <v>0</v>
      </c>
    </row>
    <row r="37" spans="1:7" x14ac:dyDescent="0.3">
      <c r="A37" s="1" t="s">
        <v>64</v>
      </c>
      <c r="B37" s="5">
        <v>9.4459587153328403E-2</v>
      </c>
      <c r="C37" s="5">
        <v>0.120438767156809</v>
      </c>
      <c r="D37" s="5">
        <v>0.123430801414473</v>
      </c>
      <c r="E37" t="s">
        <v>96</v>
      </c>
      <c r="F37" t="s">
        <v>97</v>
      </c>
      <c r="G37" s="1">
        <f>IF(E37=F37,1,0)</f>
        <v>0</v>
      </c>
    </row>
    <row r="38" spans="1:7" x14ac:dyDescent="0.3">
      <c r="A38" s="1" t="s">
        <v>72</v>
      </c>
      <c r="B38" s="5">
        <v>6.7292837165715602E-2</v>
      </c>
      <c r="C38" s="5">
        <v>0.112958659809463</v>
      </c>
      <c r="D38" s="5">
        <v>9.2829501863896893E-2</v>
      </c>
      <c r="E38" t="s">
        <v>96</v>
      </c>
      <c r="F38" t="s">
        <v>97</v>
      </c>
      <c r="G38" s="1">
        <f>IF(E38=F38,1,0)</f>
        <v>0</v>
      </c>
    </row>
    <row r="39" spans="1:7" x14ac:dyDescent="0.3">
      <c r="A39" s="1" t="s">
        <v>73</v>
      </c>
      <c r="B39" s="5">
        <v>7.6033082270568902E-2</v>
      </c>
      <c r="C39" s="5">
        <v>0.139935670103427</v>
      </c>
      <c r="D39" s="5">
        <v>0.104774584590376</v>
      </c>
      <c r="E39" t="s">
        <v>96</v>
      </c>
      <c r="F39" t="s">
        <v>97</v>
      </c>
      <c r="G39" s="1">
        <f>IF(E39=F39,1,0)</f>
        <v>0</v>
      </c>
    </row>
    <row r="40" spans="1:7" x14ac:dyDescent="0.3">
      <c r="A40" s="1" t="s">
        <v>75</v>
      </c>
      <c r="B40" s="5">
        <v>0.34206328380845102</v>
      </c>
      <c r="C40" s="5">
        <v>0.29442774513227798</v>
      </c>
      <c r="D40" s="5">
        <v>0.26910352276053401</v>
      </c>
      <c r="E40" t="s">
        <v>97</v>
      </c>
      <c r="F40" t="s">
        <v>96</v>
      </c>
      <c r="G40" s="1">
        <f>IF(E40=F40,1,0)</f>
        <v>0</v>
      </c>
    </row>
    <row r="41" spans="1:7" x14ac:dyDescent="0.3">
      <c r="A41" s="1" t="s">
        <v>79</v>
      </c>
      <c r="B41" s="5">
        <v>0.18100585605505701</v>
      </c>
      <c r="C41" s="5">
        <v>0.22068197132506701</v>
      </c>
      <c r="D41" s="5">
        <v>0.19545900633975</v>
      </c>
      <c r="E41" t="s">
        <v>96</v>
      </c>
      <c r="F41" t="s">
        <v>97</v>
      </c>
      <c r="G41" s="1">
        <f>IF(E41=F41,1,0)</f>
        <v>0</v>
      </c>
    </row>
    <row r="42" spans="1:7" x14ac:dyDescent="0.3">
      <c r="A42" s="1" t="s">
        <v>81</v>
      </c>
      <c r="B42" s="5">
        <v>0.18217230149129601</v>
      </c>
      <c r="C42" s="5">
        <v>0.31583268276216703</v>
      </c>
      <c r="D42" s="5">
        <v>0.23936691440899099</v>
      </c>
      <c r="E42" t="s">
        <v>96</v>
      </c>
      <c r="F42" t="s">
        <v>97</v>
      </c>
      <c r="G42" s="1">
        <f>IF(E42=F42,1,0)</f>
        <v>0</v>
      </c>
    </row>
    <row r="43" spans="1:7" x14ac:dyDescent="0.3">
      <c r="A43" s="1" t="s">
        <v>83</v>
      </c>
      <c r="B43" s="5">
        <v>0.14033125453041301</v>
      </c>
      <c r="C43" s="5">
        <v>0.17328213312733101</v>
      </c>
      <c r="D43" s="5">
        <v>0.13855748548755401</v>
      </c>
      <c r="E43" t="s">
        <v>97</v>
      </c>
      <c r="F43" t="s">
        <v>96</v>
      </c>
      <c r="G43" s="1">
        <f>IF(E43=F43,1,0)</f>
        <v>0</v>
      </c>
    </row>
    <row r="44" spans="1:7" x14ac:dyDescent="0.3">
      <c r="A44" s="1" t="s">
        <v>85</v>
      </c>
      <c r="B44" s="5">
        <v>7.7821254329105194E-2</v>
      </c>
      <c r="C44" s="5">
        <v>0.121934818375642</v>
      </c>
      <c r="D44" s="5">
        <v>9.5909309783740904E-2</v>
      </c>
      <c r="E44" t="s">
        <v>96</v>
      </c>
      <c r="F44" t="s">
        <v>97</v>
      </c>
      <c r="G44" s="1">
        <f>IF(E44=F44,1,0)</f>
        <v>0</v>
      </c>
    </row>
    <row r="45" spans="1:7" x14ac:dyDescent="0.3">
      <c r="A45" s="1" t="s">
        <v>89</v>
      </c>
      <c r="B45" s="5">
        <v>4.4100371516974997E-2</v>
      </c>
      <c r="C45" s="5">
        <v>5.9127016200098297E-2</v>
      </c>
      <c r="D45" s="5">
        <v>4.5433448906163403E-2</v>
      </c>
      <c r="E45" t="s">
        <v>96</v>
      </c>
      <c r="F45" t="s">
        <v>97</v>
      </c>
      <c r="G45" s="1">
        <f>IF(E45=F45,1,0)</f>
        <v>0</v>
      </c>
    </row>
  </sheetData>
  <sortState xmlns:xlrd2="http://schemas.microsoft.com/office/spreadsheetml/2017/richdata2" ref="A2:G45">
    <sortCondition descending="1" ref="G1:G45"/>
  </sortState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Sheet5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Moustafa Chatzouz</cp:lastModifiedBy>
  <cp:revision>3</cp:revision>
  <dcterms:modified xsi:type="dcterms:W3CDTF">2023-05-31T10:56:45Z</dcterms:modified>
</cp:coreProperties>
</file>